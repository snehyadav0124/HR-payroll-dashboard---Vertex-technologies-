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225" yWindow="92" windowWidth="14799" windowHeight="8003" activeTab="3" firstSheet="3" tabRatio="600"/>
  </bookViews>
  <sheets>
    <sheet name="Sheet2" sheetId="6" state="hidden" r:id="rId2"/>
    <sheet name="Sheet4" sheetId="8" state="hidden" r:id="rId3"/>
    <sheet name="Sheet5" sheetId="9" state="hidden" r:id="rId4"/>
    <sheet name="dashboarding" sheetId="5" r:id="rId5"/>
    <sheet name="PAYROLL" sheetId="1" r:id="rId6"/>
  </sheets>
  <definedNames>
    <definedName name="_xlnm._FilterDatabase" localSheetId="4">'PAYROLL'!$A$8:$S$59</definedName>
  </definedNames>
</workbook>
</file>

<file path=xl/sharedStrings.xml><?xml version="1.0" encoding="utf-8"?>
<sst xmlns="http://schemas.openxmlformats.org/spreadsheetml/2006/main" count="462" uniqueCount="159">
  <si>
    <t>EMP ID</t>
  </si>
  <si>
    <t>NAME</t>
  </si>
  <si>
    <t>FATHER'S NAME</t>
  </si>
  <si>
    <t>DEPARTMENT</t>
  </si>
  <si>
    <t>ACCOUNT NUMBER</t>
  </si>
  <si>
    <t>BASIC SALARY</t>
  </si>
  <si>
    <t>HRA (40%)</t>
  </si>
  <si>
    <t>DA (10%)</t>
  </si>
  <si>
    <t>CONVEYANCE (5%)</t>
  </si>
  <si>
    <t>OVERTIME HOURS</t>
  </si>
  <si>
    <t>RATE/HR</t>
  </si>
  <si>
    <t>OVERTIME SALARY</t>
  </si>
  <si>
    <t>BONUS( 15%)</t>
  </si>
  <si>
    <t>LEAVES</t>
  </si>
  <si>
    <t>DEDUCTIONS FOR LEAVES</t>
  </si>
  <si>
    <t>GROSS SALARY</t>
  </si>
  <si>
    <t>PF (12%)</t>
  </si>
  <si>
    <t xml:space="preserve">MEDICLAIM (500) </t>
  </si>
  <si>
    <t xml:space="preserve">NET SALARY </t>
  </si>
  <si>
    <t xml:space="preserve">AMAN </t>
  </si>
  <si>
    <t>DESHRAJ</t>
  </si>
  <si>
    <t>beta</t>
  </si>
  <si>
    <t>HENR</t>
  </si>
  <si>
    <t>NKNI</t>
  </si>
  <si>
    <t>SDERT</t>
  </si>
  <si>
    <t>SDJJB</t>
  </si>
  <si>
    <t>CBNM</t>
  </si>
  <si>
    <t>JBGII</t>
  </si>
  <si>
    <t>CHUPTU</t>
  </si>
  <si>
    <t>PAVOR</t>
  </si>
  <si>
    <t>WARAN</t>
  </si>
  <si>
    <t>TORA</t>
  </si>
  <si>
    <t>PURAT</t>
  </si>
  <si>
    <t>MORA</t>
  </si>
  <si>
    <t>RESW</t>
  </si>
  <si>
    <t>RORO</t>
  </si>
  <si>
    <t>JIKL</t>
  </si>
  <si>
    <t>ASTRE</t>
  </si>
  <si>
    <t>GHIT</t>
  </si>
  <si>
    <t>KERTI</t>
  </si>
  <si>
    <t>GUVE</t>
  </si>
  <si>
    <t>HERTY</t>
  </si>
  <si>
    <t>FERO</t>
  </si>
  <si>
    <t>KEMRT</t>
  </si>
  <si>
    <t>KINO</t>
  </si>
  <si>
    <t>HEMER</t>
  </si>
  <si>
    <t>MIUS</t>
  </si>
  <si>
    <t>WEST</t>
  </si>
  <si>
    <t>LIMO</t>
  </si>
  <si>
    <t>JIOK</t>
  </si>
  <si>
    <t>NIKO</t>
  </si>
  <si>
    <t>LIOP</t>
  </si>
  <si>
    <t>Values</t>
  </si>
  <si>
    <t>Row Labels</t>
  </si>
  <si>
    <t>Sum of Sum of BONUS( 15%)</t>
  </si>
  <si>
    <t xml:space="preserve">Sum of Sum of NET SALARY </t>
  </si>
  <si>
    <t>Sum of Sum of OVERTIME SALARY</t>
  </si>
  <si>
    <t>alpha</t>
  </si>
  <si>
    <t>gama</t>
  </si>
  <si>
    <t>Grand Total</t>
  </si>
  <si>
    <t>ROACK</t>
  </si>
  <si>
    <t>RAM</t>
  </si>
  <si>
    <t>TAMAN</t>
  </si>
  <si>
    <t>SHYAM</t>
  </si>
  <si>
    <t>SANDY</t>
  </si>
  <si>
    <t>INDER</t>
  </si>
  <si>
    <t>PONTI</t>
  </si>
  <si>
    <t>JOLI</t>
  </si>
  <si>
    <t>KIOTI</t>
  </si>
  <si>
    <t>RESTEW</t>
  </si>
  <si>
    <t>DESTER</t>
  </si>
  <si>
    <t>FENDI</t>
  </si>
  <si>
    <t>GRUND</t>
  </si>
  <si>
    <t>HENKER</t>
  </si>
  <si>
    <t>KIOSH</t>
  </si>
  <si>
    <t>TESHOKA</t>
  </si>
  <si>
    <t>KIMER</t>
  </si>
  <si>
    <t>ERT</t>
  </si>
  <si>
    <t>GERT</t>
  </si>
  <si>
    <t>YUIO</t>
  </si>
  <si>
    <t>KERT</t>
  </si>
  <si>
    <t>POIJ</t>
  </si>
  <si>
    <t>FERT</t>
  </si>
  <si>
    <t>KLPM</t>
  </si>
  <si>
    <t>DERT</t>
  </si>
  <si>
    <t>RENS</t>
  </si>
  <si>
    <t>NERT</t>
  </si>
  <si>
    <t>TERN</t>
  </si>
  <si>
    <t>LERTIOS</t>
  </si>
  <si>
    <t>UYSTEN</t>
  </si>
  <si>
    <t>HAPY</t>
  </si>
  <si>
    <t>ASTO</t>
  </si>
  <si>
    <t>HANGER</t>
  </si>
  <si>
    <t>LINP</t>
  </si>
  <si>
    <t>DESWR</t>
  </si>
  <si>
    <t>TUIST</t>
  </si>
  <si>
    <t>SANDI</t>
  </si>
  <si>
    <t>LOIP</t>
  </si>
  <si>
    <t>TIUSH</t>
  </si>
  <si>
    <t>GION</t>
  </si>
  <si>
    <t>ESTER</t>
  </si>
  <si>
    <t>TERANK</t>
  </si>
  <si>
    <t>STICKER</t>
  </si>
  <si>
    <t>OIUY</t>
  </si>
  <si>
    <t>PONTU</t>
  </si>
  <si>
    <t>TYERI</t>
  </si>
  <si>
    <t>MANTI</t>
  </si>
  <si>
    <t>JUNSTI</t>
  </si>
  <si>
    <t>HUNK</t>
  </si>
  <si>
    <t>WOANR</t>
  </si>
  <si>
    <t>IONW</t>
  </si>
  <si>
    <t>KTER</t>
  </si>
  <si>
    <t>KESTRE</t>
  </si>
  <si>
    <t>GUET</t>
  </si>
  <si>
    <t>KIOSN</t>
  </si>
  <si>
    <t>HIM</t>
  </si>
  <si>
    <t>JBTHU</t>
  </si>
  <si>
    <t>HIS</t>
  </si>
  <si>
    <t>HGYU</t>
  </si>
  <si>
    <t>DICTO</t>
  </si>
  <si>
    <t>NBKC</t>
  </si>
  <si>
    <t>PONDS</t>
  </si>
  <si>
    <t>KJBU</t>
  </si>
  <si>
    <t>TERSI</t>
  </si>
  <si>
    <t>FBGHY</t>
  </si>
  <si>
    <t>WAMP</t>
  </si>
  <si>
    <t>EJG</t>
  </si>
  <si>
    <t xml:space="preserve">VERTEX TECHNOLOGIES PVT. LTD </t>
  </si>
  <si>
    <t xml:space="preserve">HR PAYROLL DASHBOARD </t>
  </si>
  <si>
    <t>FILTERS</t>
  </si>
  <si>
    <t>AVERAGE SALARY</t>
  </si>
  <si>
    <t>TOTAL NET SALARY</t>
  </si>
  <si>
    <t>TOTAL OVERTIME HOURS</t>
  </si>
  <si>
    <t>TOTAL BONUS</t>
  </si>
  <si>
    <t>TOTAL LEAVE</t>
  </si>
  <si>
    <t>TOTAL EMPLOYEES</t>
  </si>
  <si>
    <t>(All)</t>
  </si>
  <si>
    <t>486 HOURS</t>
  </si>
  <si>
    <t>186 DAYS</t>
  </si>
  <si>
    <t>HR  PAYROLL  DASHBOARD FOR JANUARY 2026</t>
  </si>
  <si>
    <t xml:space="preserve">Sum of NET SALARY </t>
  </si>
  <si>
    <t>Sum of BASIC SALARY</t>
  </si>
  <si>
    <t>Sum of LEAVES</t>
  </si>
  <si>
    <t>Sum of BONUS( 15%)</t>
  </si>
  <si>
    <t>Sum of PF (12%)</t>
  </si>
  <si>
    <t>Sum of DA (10%)</t>
  </si>
  <si>
    <t>Sum of OVERTIME HOURS</t>
  </si>
  <si>
    <t>Sum of OVERTIME SALARY</t>
  </si>
  <si>
    <t>Sum of CONVEYANCE (5%)</t>
  </si>
  <si>
    <t>Sum of HRA (40%)</t>
  </si>
  <si>
    <t xml:space="preserve">Sum of MEDICLAIM (500) </t>
  </si>
  <si>
    <t>CONCLUSIONS</t>
  </si>
  <si>
    <t>INSIGHTS</t>
  </si>
  <si>
    <t>1. alpha department has highest net salary contribution and highest overtime hours and salary</t>
  </si>
  <si>
    <t>2. beta department has lowest overtime</t>
  </si>
  <si>
    <t>3. gama department has the highest leave count; recommended investgating staffing levels or burnout</t>
  </si>
  <si>
    <t xml:space="preserve">4. overtime hours are higher in alpha dept and the costs are 15% higher in alpha ; consider shifting budget from bonuses to new hires </t>
  </si>
  <si>
    <t>VERTEX TECHNOLOGIES PVT. LTD</t>
  </si>
  <si>
    <t>SALARY SLIP OF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</si>
</sst>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#&quot;hrs&quot;"/>
    <numFmt numFmtId="177" formatCode="&quot;₹&quot; #,##0"/>
    <numFmt numFmtId="178" formatCode="&quot;₹&quot; #,##0.00"/>
    <numFmt numFmtId="179" formatCode="# &quot;DAYS&quot;"/>
    <numFmt numFmtId="180" formatCode="#,##0.00_ ;[Red]-#,##0.00 "/>
    <numFmt numFmtId="181" formatCode="&quot;₹&quot; #,##0.00;[Red]&quot;₹&quot; -#,##0.00"/>
    <numFmt numFmtId="182" formatCode="# &quot;days&quot;"/>
    <numFmt numFmtId="183" formatCode="_ &quot;₹&quot; * #,##0_ ;_ &quot;₹&quot; * -#,##0_ ;_ &quot;₹&quot; * &quot;-&quot;_ ;_ @_ "/>
    <numFmt numFmtId="184" formatCode="_ &quot;₹&quot; * #,##0.00_ ;_ &quot;₹&quot; * -#,##0.00_ ;_ &quot;₹&quot; * &quot;-&quot;??_ ;_ @_ "/>
    <numFmt numFmtId="185" formatCode="# &quot;HRS&quot;"/>
    <numFmt numFmtId="186" formatCode="0%"/>
    <numFmt numFmtId="187" formatCode="_ &quot;￥&quot;* #,##0.00_ ;_ &quot;￥&quot;* \-#,##0.00_ ;_ &quot;￥&quot;* &quot;-&quot;??_ ;_ @_ "/>
    <numFmt numFmtId="188" formatCode="_ &quot;￥&quot;* #,##0_ ;_ &quot;￥&quot;* \-#,##0_ ;_ &quot;￥&quot;* &quot;-&quot;_ ;_ @_ "/>
    <numFmt numFmtId="189" formatCode="_ * #,##0.00_ ;_ * -#,##0.00_ ;_ * &quot;-&quot;??_ ;_ @_ "/>
    <numFmt numFmtId="190" formatCode="_ * #,##0_ ;_ * -#,##0_ ;_ * &quot;-&quot;_ ;_ @_ "/>
  </numFmts>
  <fonts count="42" x14ac:knownFonts="42">
    <font>
      <sz val="11.0"/>
      <name val="Calibri"/>
      <family val="1"/>
    </font>
    <font>
      <sz val="11.0"/>
      <name val="Calibri"/>
      <family val="1"/>
    </font>
    <font>
      <sz val="16.0"/>
      <name val="Calibri"/>
      <family val="1"/>
    </font>
    <font>
      <sz val="11.0"/>
      <color rgb="FFFF0000"/>
      <name val="Calibri"/>
      <family val="1"/>
    </font>
    <font>
      <sz val="14.0"/>
      <name val="Calibri"/>
      <family val="1"/>
    </font>
    <font>
      <sz val="14.0"/>
      <name val="Calibri"/>
      <family val="1"/>
      <b/>
    </font>
    <font>
      <sz val="24.0"/>
      <name val="Britannic Bold"/>
      <family val="1"/>
    </font>
    <font>
      <sz val="11.0"/>
      <name val="Calibri"/>
      <family val="1"/>
      <b/>
    </font>
    <font>
      <sz val="24.0"/>
      <name val="Bahnschrift Condensed"/>
      <family val="1"/>
    </font>
    <font>
      <sz val="14.0"/>
      <color rgb="FFFF0000"/>
      <name val="Calibri"/>
      <family val="1"/>
    </font>
    <font>
      <sz val="14.0"/>
      <color rgb="FFFFFFFF"/>
      <name val="Calibri"/>
      <family val="1"/>
    </font>
    <font>
      <sz val="16.0"/>
      <name val="Calibri"/>
      <family val="1"/>
      <b/>
    </font>
    <font>
      <sz val="14.0"/>
      <color rgb="FF00B050"/>
      <name val="Calibri"/>
      <family val="1"/>
    </font>
    <font>
      <sz val="12.0"/>
      <name val="Arial Unicode MS"/>
      <charset val="134"/>
    </font>
    <font>
      <sz val="14.0"/>
      <name val="Arial Unicode MS"/>
      <charset val="134"/>
      <b/>
    </font>
    <font>
      <sz val="20.0"/>
      <name val="Calibri"/>
      <family val="1"/>
    </font>
    <font>
      <sz val="26.0"/>
      <name val="Cambria"/>
      <family val="1"/>
      <b/>
    </font>
    <font>
      <sz val="16.0"/>
      <color rgb="FFFFFFFF"/>
      <name val="Calibri"/>
      <family val="1"/>
      <b/>
    </font>
    <font>
      <sz val="18.0"/>
      <name val="Calibri"/>
      <family val="1"/>
    </font>
    <font>
      <sz val="18.0"/>
      <color rgb="FFFFFFFF"/>
      <name val="Calibri"/>
      <family val="1"/>
      <b/>
    </font>
    <font>
      <sz val="24.0"/>
      <name val="Calibri"/>
      <family val="1"/>
    </font>
    <font>
      <sz val="22.0"/>
      <name val="Calibri"/>
      <family val="1"/>
    </font>
    <font>
      <sz val="18.0"/>
      <color rgb="FF1F497D"/>
      <name val="Cambria"/>
      <family val="1"/>
      <b/>
    </font>
    <font>
      <sz val="11.0"/>
      <color rgb="FFFFFFFF"/>
      <name val="Calibri"/>
      <family val="1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4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3DADB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rgb="FF17375D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1" applyFont="1" fillId="0" borderId="0" applyAlignment="1"/>
    <xf numFmtId="0" fontId="23" applyFont="1" fillId="11" applyFill="1" borderId="0" applyAlignment="1"/>
    <xf numFmtId="0" fontId="22" applyFont="1" fillId="0" borderId="0" applyAlignment="1"/>
  </cellStyleXfs>
  <cellXfs count="226">
    <xf numFmtId="0" fontId="0" fillId="0" borderId="0" applyAlignment="1" xfId="0"/>
    <xf numFmtId="0" fontId="1" applyFont="1" fillId="0" borderId="0" applyAlignment="1" xfId="0"/>
    <xf numFmtId="0" fontId="1" applyFont="1" fillId="0" borderId="1" applyBorder="1" applyAlignment="1" xfId="0"/>
    <xf numFmtId="176" applyNumberFormat="1" fontId="1" applyFont="1" fillId="0" borderId="2" applyBorder="1" applyAlignment="1" xfId="0"/>
    <xf numFmtId="177" applyNumberFormat="1" fontId="1" applyFont="1" fillId="0" borderId="3" applyBorder="1" applyAlignment="1" xfId="0"/>
    <xf numFmtId="0" fontId="2" applyFont="1" fillId="0" borderId="0" applyAlignment="1" xfId="0">
      <alignment horizontal="left"/>
    </xf>
    <xf numFmtId="178" applyNumberFormat="1" fontId="1" applyFont="1" fillId="0" borderId="4" applyBorder="1" applyAlignment="1" xfId="0"/>
    <xf numFmtId="178" applyNumberFormat="1" fontId="1" applyFont="1" fillId="0" borderId="0" applyAlignment="1" xfId="0"/>
    <xf numFmtId="179" applyNumberFormat="1" fontId="1" applyFont="1" fillId="0" borderId="5" applyBorder="1" applyAlignment="1" xfId="0">
      <alignment horizontal="center"/>
    </xf>
    <xf numFmtId="179" applyNumberFormat="1" fontId="1" applyFont="1" fillId="0" borderId="0" applyAlignment="1" xfId="0">
      <alignment horizontal="center"/>
    </xf>
    <xf numFmtId="180" applyNumberFormat="1" fontId="1" applyFont="1" fillId="0" borderId="0" applyAlignment="1" xfId="0"/>
    <xf numFmtId="181" applyNumberFormat="1" fontId="3" applyFont="1" fillId="0" borderId="6" applyBorder="1" applyAlignment="1" xfId="0"/>
    <xf numFmtId="0" fontId="1" applyFont="1" fillId="0" borderId="7" applyBorder="1" applyAlignment="1" xfId="0">
      <alignment horizontal="left"/>
    </xf>
    <xf numFmtId="178" applyNumberFormat="1" fontId="3" applyFont="1" fillId="0" borderId="8" applyBorder="1" applyAlignment="1" xfId="0"/>
    <xf numFmtId="178" applyNumberFormat="1" fontId="1" applyFont="1" fillId="2" applyFill="1" borderId="0" applyAlignment="1" xfId="0"/>
    <xf numFmtId="177" applyNumberFormat="1" fontId="1" applyFont="1" fillId="0" borderId="0" applyAlignment="1" xfId="0"/>
    <xf numFmtId="178" applyNumberFormat="1" fontId="3" applyFont="1" fillId="0" borderId="0" applyAlignment="1" xfId="0"/>
    <xf numFmtId="178" applyNumberFormat="1" fontId="1" applyFont="1" fillId="3" applyFill="1" borderId="0" applyAlignment="1" xfId="0"/>
    <xf numFmtId="178" applyNumberFormat="1" fontId="4" applyFont="1" fillId="4" applyFill="1" borderId="9" applyBorder="1" applyAlignment="1" xfId="0"/>
    <xf numFmtId="0" fontId="5" applyFont="1" fillId="5" applyFill="1" borderId="10" applyBorder="1" applyAlignment="1" xfId="1">
      <alignment vertical="center" wrapText="1"/>
    </xf>
    <xf numFmtId="178" applyNumberFormat="1" fontId="5" applyFont="1" fillId="5" applyFill="1" borderId="11" applyBorder="1" applyAlignment="1" xfId="1">
      <alignment vertical="center" wrapText="1"/>
    </xf>
    <xf numFmtId="179" applyNumberFormat="1" fontId="5" applyFont="1" fillId="5" applyFill="1" borderId="12" applyBorder="1" applyAlignment="1" xfId="1">
      <alignment horizontal="center" vertical="center" wrapText="1"/>
    </xf>
    <xf numFmtId="180" applyNumberFormat="1" fontId="5" applyFont="1" fillId="5" applyFill="1" borderId="13" applyBorder="1" applyAlignment="1" xfId="1">
      <alignment vertical="center" wrapText="1"/>
    </xf>
    <xf numFmtId="0" fontId="1" applyFont="1" fillId="5" applyFill="1" borderId="0" applyAlignment="1" xfId="0"/>
    <xf numFmtId="0" fontId="6" applyFont="1" fillId="6" applyFill="1" borderId="0" applyAlignment="1" xfId="0">
      <alignment horizontal="center"/>
    </xf>
    <xf numFmtId="0" fontId="6" applyFont="1" fillId="0" borderId="0" applyAlignment="1" xfId="0">
      <alignment horizontal="center"/>
    </xf>
    <xf numFmtId="0" fontId="1" applyFont="1" fillId="0" borderId="0" applyAlignment="1" xfId="0">
      <alignment horizontal="center"/>
    </xf>
    <xf numFmtId="0" fontId="1" applyFont="1" fillId="7" applyFill="1" borderId="0" applyAlignment="1" xfId="0"/>
    <xf numFmtId="0" fontId="1" applyFont="1" fillId="0" borderId="0" applyAlignment="1" xfId="0">
      <alignment horizontal="left"/>
    </xf>
    <xf numFmtId="0" fontId="7" applyFont="1" fillId="7" applyFill="1" borderId="14" applyBorder="1" applyAlignment="1" xfId="0"/>
    <xf numFmtId="0" fontId="7" applyFont="1" fillId="7" applyFill="1" borderId="15" applyBorder="1" applyAlignment="1" xfId="0"/>
    <xf numFmtId="0" fontId="7" applyFont="1" fillId="7" applyFill="1" borderId="16" applyBorder="1" applyAlignment="1" xfId="0"/>
    <xf numFmtId="0" fontId="4" applyFont="1" fillId="0" borderId="17" applyBorder="1" applyAlignment="1" xfId="0"/>
    <xf numFmtId="182" applyNumberFormat="1" fontId="4" applyFont="1" fillId="0" borderId="18" applyBorder="1" applyAlignment="1" xfId="0"/>
    <xf numFmtId="0" fontId="8" applyFont="1" fillId="0" borderId="19" applyBorder="1" applyAlignment="1" xfId="0"/>
    <xf numFmtId="182" applyNumberFormat="1" fontId="9" applyFont="1" fillId="0" borderId="20" applyBorder="1" applyAlignment="1" xfId="0"/>
    <xf numFmtId="0" fontId="10" applyFont="1" fillId="8" applyFill="1" borderId="21" applyBorder="1" applyAlignment="1" xfId="0"/>
    <xf numFmtId="183" applyNumberFormat="1" fontId="9" applyFont="1" fillId="0" borderId="22" applyBorder="1" applyAlignment="1" xfId="0"/>
    <xf numFmtId="183" applyNumberFormat="1" fontId="4" applyFont="1" fillId="0" borderId="23" applyBorder="1" applyAlignment="1" xfId="0"/>
    <xf numFmtId="0" fontId="7" applyFont="1" fillId="7" applyFill="1" borderId="24" applyBorder="1" applyAlignment="1" xfId="0"/>
    <xf numFmtId="0" fontId="4" applyFont="1" fillId="0" borderId="25" applyBorder="1" applyAlignment="1" xfId="0"/>
    <xf numFmtId="0" fontId="4" applyFont="1" fillId="0" borderId="26" applyBorder="1" applyAlignment="1" xfId="0"/>
    <xf numFmtId="0" fontId="11" applyFont="1" fillId="7" applyFill="1" borderId="27" applyBorder="1" applyAlignment="1" xfId="0"/>
    <xf numFmtId="183" applyNumberFormat="1" fontId="12" applyFont="1" fillId="0" borderId="28" applyBorder="1" applyAlignment="1" xfId="0"/>
    <xf numFmtId="182" applyNumberFormat="1" fontId="12" applyFont="1" fillId="0" borderId="29" applyBorder="1" applyAlignment="1" xfId="0"/>
    <xf numFmtId="0" fontId="10" applyFont="1" fillId="8" applyFill="1" borderId="30" applyBorder="1" applyAlignment="1" xfId="0"/>
    <xf numFmtId="0" fontId="10" applyFont="1" fillId="8" applyFill="1" borderId="31" applyBorder="1" applyAlignment="1" xfId="0"/>
    <xf numFmtId="0" fontId="4" applyFont="1" fillId="0" borderId="32" applyBorder="1" applyAlignment="1" xfId="0">
      <alignment vertical="center" wrapText="1"/>
    </xf>
    <xf numFmtId="0" fontId="4" applyFont="1" fillId="0" borderId="0" applyAlignment="1" xfId="0">
      <alignment horizontal="center"/>
    </xf>
    <xf numFmtId="0" fontId="4" applyFont="1" fillId="0" borderId="33" applyBorder="1" applyAlignment="1" xfId="0">
      <alignment horizontal="center" wrapText="1"/>
    </xf>
    <xf numFmtId="0" fontId="4" applyFont="1" fillId="0" borderId="34" applyBorder="1" applyAlignment="1" xfId="0">
      <alignment horizontal="center"/>
    </xf>
    <xf numFmtId="0" fontId="1" applyFont="1" fillId="0" borderId="35" applyBorder="1" applyAlignment="1" xfId="0"/>
    <xf numFmtId="0" fontId="13" applyFont="1" fillId="0" borderId="0" applyAlignment="1" xfId="0"/>
    <xf numFmtId="184" applyNumberFormat="1" fontId="13" applyFont="1" fillId="0" borderId="0" applyAlignment="1" xfId="0">
      <alignment horizontal="right"/>
    </xf>
    <xf numFmtId="184" applyNumberFormat="1" fontId="4" applyFont="1" fillId="0" borderId="36" applyBorder="1" applyAlignment="1" xfId="0"/>
    <xf numFmtId="185" applyNumberFormat="1" fontId="4" applyFont="1" fillId="0" borderId="37" applyBorder="1" applyAlignment="1" xfId="0"/>
    <xf numFmtId="185" applyNumberFormat="1" fontId="12" applyFont="1" fillId="0" borderId="38" applyBorder="1" applyAlignment="1" xfId="0"/>
    <xf numFmtId="184" applyNumberFormat="1" fontId="12" applyFont="1" fillId="0" borderId="39" applyBorder="1" applyAlignment="1" xfId="0"/>
    <xf numFmtId="184" applyNumberFormat="1" fontId="9" applyFont="1" fillId="0" borderId="40" applyBorder="1" applyAlignment="1" xfId="0"/>
    <xf numFmtId="185" applyNumberFormat="1" fontId="9" applyFont="1" fillId="0" borderId="41" applyBorder="1" applyAlignment="1" xfId="0"/>
    <xf numFmtId="184" applyNumberFormat="1" fontId="5" applyFont="1" fillId="7" applyFill="1" borderId="42" applyBorder="1" applyAlignment="1" xfId="0"/>
    <xf numFmtId="184" applyNumberFormat="1" fontId="14" applyFont="1" fillId="7" applyFill="1" borderId="43" applyBorder="1" applyAlignment="1" xfId="0"/>
    <xf numFmtId="184" applyNumberFormat="1" fontId="14" applyFont="1" fillId="7" applyFill="1" borderId="44" applyBorder="1" applyAlignment="1" xfId="0">
      <alignment horizontal="right"/>
    </xf>
    <xf numFmtId="184" applyNumberFormat="1" fontId="5" applyFont="1" fillId="7" applyFill="1" borderId="45" applyBorder="1" applyAlignment="1" xfId="0">
      <alignment horizontal="right"/>
    </xf>
    <xf numFmtId="0" fontId="5" applyFont="1" fillId="7" applyFill="1" borderId="46" applyBorder="1" applyAlignment="1" xfId="0"/>
    <xf numFmtId="0" fontId="5" applyFont="1" fillId="4" applyFill="1" borderId="47" applyBorder="1" applyAlignment="1" xfId="0"/>
    <xf numFmtId="0" fontId="14" applyFont="1" fillId="4" applyFill="1" borderId="48" applyBorder="1" applyAlignment="1" xfId="0"/>
    <xf numFmtId="184" applyNumberFormat="1" fontId="14" applyFont="1" fillId="4" applyFill="1" borderId="49" applyBorder="1" applyAlignment="1" xfId="0">
      <alignment horizontal="right"/>
    </xf>
    <xf numFmtId="0" fontId="5" applyFont="1" fillId="4" applyFill="1" borderId="50" applyBorder="1" applyAlignment="1" xfId="0">
      <alignment horizontal="center"/>
    </xf>
    <xf numFmtId="0" fontId="1" applyFont="1" fillId="0" borderId="51" applyBorder="1" applyAlignment="1" xfId="0"/>
    <xf numFmtId="0" fontId="1" applyFont="1" fillId="0" borderId="52" applyBorder="1" applyAlignment="1" xfId="0"/>
    <xf numFmtId="0" fontId="15" applyFont="1" fillId="0" borderId="0" applyAlignment="1" xfId="0"/>
    <xf numFmtId="0" fontId="16" applyFont="1" fillId="3" applyFill="1" borderId="0" applyAlignment="1" xfId="2">
      <alignment vertical="center"/>
    </xf>
    <xf numFmtId="0" fontId="1" applyFont="1" fillId="3" applyFill="1" borderId="0" applyAlignment="1" xfId="0"/>
    <xf numFmtId="0" fontId="17" applyFont="1" fillId="9" applyFill="1" borderId="53" applyBorder="1" applyAlignment="1" xfId="0">
      <alignment horizontal="center"/>
    </xf>
    <xf numFmtId="0" fontId="17" applyFont="1" fillId="9" applyFill="1" borderId="54" applyBorder="1" applyAlignment="1" xfId="0">
      <alignment horizontal="center"/>
    </xf>
    <xf numFmtId="0" fontId="17" applyFont="1" fillId="9" applyFill="1" borderId="55" applyBorder="1" applyAlignment="1" xfId="0">
      <alignment horizontal="center"/>
    </xf>
    <xf numFmtId="0" fontId="2" applyFont="1" fillId="4" applyFill="1" borderId="56" applyBorder="1" applyAlignment="1" xfId="0"/>
    <xf numFmtId="0" fontId="2" applyFont="1" fillId="4" applyFill="1" borderId="0" applyAlignment="1" xfId="0"/>
    <xf numFmtId="0" fontId="2" applyFont="1" fillId="4" applyFill="1" borderId="57" applyBorder="1" applyAlignment="1" xfId="0"/>
    <xf numFmtId="0" fontId="2" applyFont="1" fillId="4" applyFill="1" borderId="58" applyBorder="1" applyAlignment="1" xfId="0"/>
    <xf numFmtId="0" fontId="2" applyFont="1" fillId="4" applyFill="1" borderId="59" applyBorder="1" applyAlignment="1" xfId="0"/>
    <xf numFmtId="0" fontId="2" applyFont="1" fillId="4" applyFill="1" borderId="60" applyBorder="1" applyAlignment="1" xfId="0"/>
    <xf numFmtId="0" fontId="18" applyFont="1" fillId="0" borderId="61" applyBorder="1" applyAlignment="1" xfId="0"/>
    <xf numFmtId="0" fontId="18" applyFont="1" fillId="0" borderId="62" applyBorder="1" applyAlignment="1" xfId="0"/>
    <xf numFmtId="0" fontId="18" applyFont="1" fillId="0" borderId="63" applyBorder="1" applyAlignment="1" xfId="0"/>
    <xf numFmtId="0" fontId="2" applyFont="1" fillId="0" borderId="64" applyBorder="1" applyAlignment="1" xfId="0"/>
    <xf numFmtId="0" fontId="2" applyFont="1" fillId="0" borderId="0" applyAlignment="1" xfId="0"/>
    <xf numFmtId="0" fontId="2" applyFont="1" fillId="0" borderId="65" applyBorder="1" applyAlignment="1" xfId="0"/>
    <xf numFmtId="0" fontId="19" applyFont="1" fillId="0" borderId="66" applyBorder="1" applyAlignment="1" xfId="0">
      <alignment horizontal="center"/>
    </xf>
    <xf numFmtId="0" fontId="19" applyFont="1" fillId="0" borderId="67" applyBorder="1" applyAlignment="1" xfId="0">
      <alignment horizontal="center"/>
    </xf>
    <xf numFmtId="0" fontId="19" applyFont="1" fillId="0" borderId="68" applyBorder="1" applyAlignment="1" xfId="0">
      <alignment horizontal="center"/>
    </xf>
    <xf numFmtId="0" fontId="11" applyFont="1" fillId="7" applyFill="1" borderId="69" applyBorder="1" applyAlignment="1" xfId="0">
      <alignment horizontal="center"/>
    </xf>
    <xf numFmtId="0" fontId="11" applyFont="1" fillId="7" applyFill="1" borderId="70" applyBorder="1" applyAlignment="1" xfId="0">
      <alignment horizontal="center"/>
    </xf>
    <xf numFmtId="0" fontId="6" applyFont="1" fillId="10" applyFill="1" borderId="0" applyAlignment="1" xfId="0">
      <alignment horizontal="center" vertical="top"/>
    </xf>
    <xf numFmtId="0" fontId="6" applyFont="1" fillId="10" applyFill="1" borderId="71" applyBorder="1" applyAlignment="1" xfId="0">
      <alignment horizontal="center" vertical="top"/>
    </xf>
    <xf numFmtId="0" fontId="20" applyFont="1" fillId="7" applyFill="1" borderId="72" applyBorder="1" applyAlignment="1" xfId="0">
      <alignment horizontal="center"/>
    </xf>
    <xf numFmtId="0" fontId="20" applyFont="1" fillId="7" applyFill="1" borderId="73" applyBorder="1" applyAlignment="1" xfId="0">
      <alignment horizontal="center"/>
    </xf>
    <xf numFmtId="0" fontId="20" applyFont="1" fillId="7" applyFill="1" borderId="74" applyBorder="1" applyAlignment="1" xfId="0">
      <alignment horizontal="center"/>
    </xf>
    <xf numFmtId="0" fontId="20" applyFont="1" fillId="7" applyFill="1" borderId="75" applyBorder="1" applyAlignment="1" xfId="0">
      <alignment horizontal="center"/>
    </xf>
    <xf numFmtId="0" fontId="20" applyFont="1" fillId="7" applyFill="1" borderId="76" applyBorder="1" applyAlignment="1" xfId="0">
      <alignment horizontal="center"/>
    </xf>
    <xf numFmtId="0" fontId="20" applyFont="1" fillId="7" applyFill="1" borderId="77" applyBorder="1" applyAlignment="1" xfId="0">
      <alignment horizontal="center"/>
    </xf>
    <xf numFmtId="0" fontId="8" applyFont="1" fillId="0" borderId="78" applyBorder="1" applyAlignment="1" xfId="0">
      <alignment horizontal="center"/>
    </xf>
    <xf numFmtId="0" fontId="18" applyFont="1" fillId="0" borderId="79" applyBorder="1" applyAlignment="1" xfId="0"/>
    <xf numFmtId="0" fontId="18" applyFont="1" fillId="0" borderId="0" applyAlignment="1" xfId="0"/>
    <xf numFmtId="0" fontId="18" applyFont="1" fillId="0" borderId="80" applyBorder="1" applyAlignment="1" xfId="0"/>
    <xf numFmtId="0" fontId="1" applyFont="1" fillId="0" borderId="81" applyBorder="1" applyAlignment="1" xfId="0">
      <alignment horizontal="center"/>
    </xf>
    <xf numFmtId="0" fontId="1" applyFont="1" fillId="0" borderId="82" applyBorder="1" applyAlignment="1" xfId="0">
      <alignment horizontal="center"/>
    </xf>
    <xf numFmtId="0" fontId="16" applyFont="1" fillId="6" applyFill="1" borderId="83" applyBorder="1" applyAlignment="1" xfId="2">
      <alignment horizontal="center" vertical="center"/>
    </xf>
    <xf numFmtId="0" fontId="16" applyFont="1" fillId="6" applyFill="1" borderId="84" applyBorder="1" applyAlignment="1" xfId="2">
      <alignment horizontal="center" vertical="center"/>
    </xf>
    <xf numFmtId="0" fontId="16" applyFont="1" fillId="6" applyFill="1" borderId="85" applyBorder="1" applyAlignment="1" xfId="2">
      <alignment horizontal="center" vertical="center"/>
    </xf>
    <xf numFmtId="0" fontId="16" applyFont="1" fillId="6" applyFill="1" borderId="86" applyBorder="1" applyAlignment="1" xfId="2">
      <alignment horizontal="center" vertical="center"/>
    </xf>
    <xf numFmtId="0" fontId="16" applyFont="1" fillId="6" applyFill="1" borderId="0" applyAlignment="1" xfId="2">
      <alignment horizontal="center" vertical="center"/>
    </xf>
    <xf numFmtId="0" fontId="16" applyFont="1" fillId="6" applyFill="1" borderId="87" applyBorder="1" applyAlignment="1" xfId="2">
      <alignment horizontal="center" vertical="center"/>
    </xf>
    <xf numFmtId="0" fontId="16" applyFont="1" fillId="6" applyFill="1" borderId="88" applyBorder="1" applyAlignment="1" xfId="2">
      <alignment horizontal="center" vertical="center"/>
    </xf>
    <xf numFmtId="0" fontId="16" applyFont="1" fillId="6" applyFill="1" borderId="89" applyBorder="1" applyAlignment="1" xfId="2">
      <alignment horizontal="center" vertical="center"/>
    </xf>
    <xf numFmtId="0" fontId="16" applyFont="1" fillId="6" applyFill="1" borderId="90" applyBorder="1" applyAlignment="1" xfId="2">
      <alignment horizontal="center" vertical="center"/>
    </xf>
    <xf numFmtId="0" fontId="21" applyFont="1" fillId="7" applyFill="1" borderId="91" applyBorder="1" applyAlignment="1" xfId="0">
      <alignment horizontal="center"/>
    </xf>
    <xf numFmtId="0" fontId="21" applyFont="1" fillId="7" applyFill="1" borderId="92" applyBorder="1" applyAlignment="1" xfId="0">
      <alignment horizontal="center"/>
    </xf>
    <xf numFmtId="0" fontId="21" applyFont="1" fillId="7" applyFill="1" borderId="93" applyBorder="1" applyAlignment="1" xfId="0">
      <alignment horizontal="center"/>
    </xf>
    <xf numFmtId="0" fontId="21" applyFont="1" fillId="7" applyFill="1" borderId="94" applyBorder="1" applyAlignment="1" xfId="0">
      <alignment horizontal="center"/>
    </xf>
    <xf numFmtId="0" fontId="21" applyFont="1" fillId="7" applyFill="1" borderId="95" applyBorder="1" applyAlignment="1" xfId="0">
      <alignment horizontal="center"/>
    </xf>
    <xf numFmtId="0" fontId="21" applyFont="1" fillId="7" applyFill="1" borderId="96" applyBorder="1" applyAlignment="1" xfId="0">
      <alignment horizontal="center"/>
    </xf>
    <xf numFmtId="0" fontId="1" applyFont="1" fillId="3" applyFill="1" borderId="0" applyAlignment="1" xfId="0">
      <alignment horizontal="center"/>
    </xf>
    <xf numFmtId="0" fontId="1" applyFont="1" fillId="0" borderId="0" applyAlignment="1" xfId="0"/>
    <xf numFmtId="0" fontId="22" applyFont="1" fillId="0" borderId="0" applyAlignment="1" xfId="0"/>
    <xf numFmtId="0" fontId="23" applyFont="1" fillId="11" applyFill="1" borderId="0" applyAlignment="1" xfId="0"/>
    <xf numFmtId="0" fontId="1" applyFont="1" fillId="0" borderId="0" applyAlignment="1" xfId="0"/>
    <xf numFmtId="0" fontId="18" applyFont="1" fillId="0" borderId="97" applyBorder="1" applyAlignment="1" xfId="0"/>
    <xf numFmtId="0" fontId="18" applyFont="1" fillId="0" borderId="98" applyBorder="1" applyAlignment="1" xfId="0"/>
    <xf numFmtId="0" fontId="18" applyFont="1" fillId="0" borderId="99" applyBorder="1" applyAlignment="1" xfId="0"/>
    <xf numFmtId="0" fontId="2" applyFont="1" fillId="0" borderId="100" applyBorder="1" applyAlignment="1" xfId="0"/>
    <xf numFmtId="0" fontId="2" applyFont="1" fillId="0" borderId="0" applyAlignment="1" xfId="0"/>
    <xf numFmtId="0" fontId="2" applyFont="1" fillId="0" borderId="101" applyBorder="1" applyAlignment="1" xfId="0"/>
    <xf numFmtId="0" fontId="19" applyFont="1" fillId="0" borderId="102" applyBorder="1" applyAlignment="1" xfId="0">
      <alignment horizontal="center"/>
    </xf>
    <xf numFmtId="0" fontId="19" applyFont="1" fillId="0" borderId="103" applyBorder="1" applyAlignment="1" xfId="0">
      <alignment horizontal="center"/>
    </xf>
    <xf numFmtId="0" fontId="19" applyFont="1" fillId="0" borderId="104" applyBorder="1" applyAlignment="1" xfId="0">
      <alignment horizontal="center"/>
    </xf>
    <xf numFmtId="0" fontId="11" applyFont="1" fillId="7" applyFill="1" borderId="105" applyBorder="1" applyAlignment="1" xfId="0">
      <alignment horizontal="center"/>
    </xf>
    <xf numFmtId="0" fontId="11" applyFont="1" fillId="7" applyFill="1" borderId="106" applyBorder="1" applyAlignment="1" xfId="0">
      <alignment horizontal="center"/>
    </xf>
    <xf numFmtId="0" fontId="6" applyFont="1" fillId="10" applyFill="1" borderId="107" applyBorder="1" applyAlignment="1" xfId="0">
      <alignment horizontal="center" vertical="top"/>
    </xf>
    <xf numFmtId="0" fontId="6" applyFont="1" fillId="10" applyFill="1" borderId="0" applyAlignment="1" xfId="0">
      <alignment horizontal="center" vertical="top"/>
    </xf>
    <xf numFmtId="0" fontId="20" applyFont="1" fillId="7" applyFill="1" borderId="108" applyBorder="1" applyAlignment="1" xfId="0">
      <alignment horizontal="center"/>
    </xf>
    <xf numFmtId="0" fontId="20" applyFont="1" fillId="7" applyFill="1" borderId="109" applyBorder="1" applyAlignment="1" xfId="0">
      <alignment horizontal="center"/>
    </xf>
    <xf numFmtId="0" fontId="20" applyFont="1" fillId="7" applyFill="1" borderId="110" applyBorder="1" applyAlignment="1" xfId="0">
      <alignment horizontal="center"/>
    </xf>
    <xf numFmtId="0" fontId="20" applyFont="1" fillId="7" applyFill="1" borderId="111" applyBorder="1" applyAlignment="1" xfId="0">
      <alignment horizontal="center"/>
    </xf>
    <xf numFmtId="0" fontId="20" applyFont="1" fillId="7" applyFill="1" borderId="112" applyBorder="1" applyAlignment="1" xfId="0">
      <alignment horizontal="center"/>
    </xf>
    <xf numFmtId="0" fontId="20" applyFont="1" fillId="7" applyFill="1" borderId="113" applyBorder="1" applyAlignment="1" xfId="0">
      <alignment horizontal="center"/>
    </xf>
    <xf numFmtId="0" fontId="8" applyFont="1" fillId="0" borderId="114" applyBorder="1" applyAlignment="1" xfId="0">
      <alignment horizontal="center"/>
    </xf>
    <xf numFmtId="0" fontId="18" applyFont="1" fillId="0" borderId="115" applyBorder="1" applyAlignment="1" xfId="0"/>
    <xf numFmtId="0" fontId="18" applyFont="1" fillId="0" borderId="0" applyAlignment="1" xfId="0"/>
    <xf numFmtId="0" fontId="18" applyFont="1" fillId="0" borderId="116" applyBorder="1" applyAlignment="1" xfId="0"/>
    <xf numFmtId="0" fontId="17" applyFont="1" fillId="9" applyFill="1" borderId="117" applyBorder="1" applyAlignment="1" xfId="0">
      <alignment horizontal="center"/>
    </xf>
    <xf numFmtId="0" fontId="17" applyFont="1" fillId="9" applyFill="1" borderId="118" applyBorder="1" applyAlignment="1" xfId="0">
      <alignment horizontal="center"/>
    </xf>
    <xf numFmtId="0" fontId="17" applyFont="1" fillId="9" applyFill="1" borderId="119" applyBorder="1" applyAlignment="1" xfId="0">
      <alignment horizontal="center"/>
    </xf>
    <xf numFmtId="0" fontId="2" applyFont="1" fillId="4" applyFill="1" borderId="120" applyBorder="1" applyAlignment="1" xfId="0"/>
    <xf numFmtId="0" fontId="2" applyFont="1" fillId="4" applyFill="1" borderId="0" applyAlignment="1" xfId="0"/>
    <xf numFmtId="0" fontId="2" applyFont="1" fillId="4" applyFill="1" borderId="121" applyBorder="1" applyAlignment="1" xfId="0"/>
    <xf numFmtId="0" fontId="2" applyFont="1" fillId="4" applyFill="1" borderId="122" applyBorder="1" applyAlignment="1" xfId="0"/>
    <xf numFmtId="0" fontId="2" applyFont="1" fillId="4" applyFill="1" borderId="123" applyBorder="1" applyAlignment="1" xfId="0"/>
    <xf numFmtId="0" fontId="2" applyFont="1" fillId="4" applyFill="1" borderId="124" applyBorder="1" applyAlignment="1" xfId="0"/>
    <xf numFmtId="0" fontId="24" applyFont="1" fillId="12" applyFill="1" borderId="0" applyAlignment="1" xfId="0"/>
    <xf numFmtId="0" fontId="25" applyFont="1" fillId="13" applyFill="1" borderId="0" applyAlignment="1" xfId="0"/>
    <xf numFmtId="0" fontId="26" applyFont="1" fillId="14" applyFill="1" borderId="0" applyAlignment="1" xfId="0"/>
    <xf numFmtId="0" fontId="27" applyFont="1" fillId="15" applyFill="1" borderId="125" applyBorder="1" applyAlignment="1" xfId="0"/>
    <xf numFmtId="0" fontId="28" applyFont="1" fillId="16" applyFill="1" borderId="126" applyBorder="1" applyAlignment="1" xfId="0"/>
    <xf numFmtId="0" fontId="29" applyFont="1" fillId="0" borderId="0" applyAlignment="1" xfId="0"/>
    <xf numFmtId="0" fontId="30" applyFont="1" fillId="0" borderId="0" applyAlignment="1" xfId="0"/>
    <xf numFmtId="0" fontId="31" applyFont="1" fillId="0" borderId="127" applyBorder="1" applyAlignment="1" xfId="0"/>
    <xf numFmtId="0" fontId="32" applyFont="1" fillId="15" applyFill="1" borderId="128" applyBorder="1" applyAlignment="1" xfId="0"/>
    <xf numFmtId="0" fontId="33" applyFont="1" fillId="17" applyFill="1" borderId="129" applyBorder="1" applyAlignment="1" xfId="0"/>
    <xf numFmtId="0" fontId="1" applyFont="1" fillId="18" applyFill="1" borderId="130" applyBorder="1" applyAlignment="1" xfId="0"/>
    <xf numFmtId="0" fontId="34" applyFont="1" fillId="0" borderId="0" applyAlignment="1" xfId="0"/>
    <xf numFmtId="0" fontId="35" applyFont="1" fillId="0" borderId="131" applyBorder="1" applyAlignment="1" xfId="0"/>
    <xf numFmtId="0" fontId="36" applyFont="1" fillId="0" borderId="132" applyBorder="1" applyAlignment="1" xfId="0"/>
    <xf numFmtId="0" fontId="37" applyFont="1" fillId="0" borderId="133" applyBorder="1" applyAlignment="1" xfId="0"/>
    <xf numFmtId="0" fontId="37" applyFont="1" fillId="0" borderId="0" applyAlignment="1" xfId="0"/>
    <xf numFmtId="0" fontId="38" applyFont="1" fillId="0" borderId="134" applyBorder="1" applyAlignment="1" xfId="0"/>
    <xf numFmtId="0" fontId="39" applyFont="1" fillId="19" applyFill="1" borderId="0" applyAlignment="1" xfId="0"/>
    <xf numFmtId="0" fontId="39" applyFont="1" fillId="20" applyFill="1" borderId="0" applyAlignment="1" xfId="0"/>
    <xf numFmtId="0" fontId="39" applyFont="1" fillId="21" applyFill="1" borderId="0" applyAlignment="1" xfId="0"/>
    <xf numFmtId="0" fontId="39" applyFont="1" fillId="22" applyFill="1" borderId="0" applyAlignment="1" xfId="0"/>
    <xf numFmtId="0" fontId="39" applyFont="1" fillId="23" applyFill="1" borderId="0" applyAlignment="1" xfId="0"/>
    <xf numFmtId="0" fontId="39" applyFont="1" fillId="24" applyFill="1" borderId="0" applyAlignment="1" xfId="0"/>
    <xf numFmtId="0" fontId="39" applyFont="1" fillId="25" applyFill="1" borderId="0" applyAlignment="1" xfId="0"/>
    <xf numFmtId="0" fontId="39" applyFont="1" fillId="26" applyFill="1" borderId="0" applyAlignment="1" xfId="0"/>
    <xf numFmtId="0" fontId="39" applyFont="1" fillId="27" applyFill="1" borderId="0" applyAlignment="1" xfId="0"/>
    <xf numFmtId="0" fontId="39" applyFont="1" fillId="28" applyFill="1" borderId="0" applyAlignment="1" xfId="0"/>
    <xf numFmtId="0" fontId="39" applyFont="1" fillId="29" applyFill="1" borderId="0" applyAlignment="1" xfId="0"/>
    <xf numFmtId="0" fontId="39" applyFont="1" fillId="30" applyFill="1" borderId="0" applyAlignment="1" xfId="0"/>
    <xf numFmtId="0" fontId="40" applyFont="1" fillId="31" applyFill="1" borderId="0" applyAlignment="1" xfId="0"/>
    <xf numFmtId="0" fontId="40" applyFont="1" fillId="32" applyFill="1" borderId="0" applyAlignment="1" xfId="0"/>
    <xf numFmtId="0" fontId="40" applyFont="1" fillId="33" applyFill="1" borderId="0" applyAlignment="1" xfId="0"/>
    <xf numFmtId="0" fontId="40" applyFont="1" fillId="34" applyFill="1" borderId="0" applyAlignment="1" xfId="0"/>
    <xf numFmtId="0" fontId="40" applyFont="1" fillId="35" applyFill="1" borderId="0" applyAlignment="1" xfId="0"/>
    <xf numFmtId="0" fontId="40" applyFont="1" fillId="36" applyFill="1" borderId="0" applyAlignment="1" xfId="0"/>
    <xf numFmtId="0" fontId="40" applyFont="1" fillId="37" applyFill="1" borderId="0" applyAlignment="1" xfId="0"/>
    <xf numFmtId="0" fontId="40" applyFont="1" fillId="38" applyFill="1" borderId="0" applyAlignment="1" xfId="0"/>
    <xf numFmtId="0" fontId="40" applyFont="1" fillId="39" applyFill="1" borderId="0" applyAlignment="1" xfId="0"/>
    <xf numFmtId="0" fontId="40" applyFont="1" fillId="40" applyFill="1" borderId="0" applyAlignment="1" xfId="0"/>
    <xf numFmtId="0" fontId="40" applyFont="1" fillId="41" applyFill="1" borderId="0" applyAlignment="1" xfId="0"/>
    <xf numFmtId="0" fontId="40" applyFont="1" fillId="42" applyFill="1" borderId="0" applyAlignment="1" xfId="0"/>
    <xf numFmtId="186" applyNumberFormat="1" fontId="1" applyFont="1" fillId="0" borderId="0" applyAlignment="1" xfId="0"/>
    <xf numFmtId="187" applyNumberFormat="1" fontId="1" applyFont="1" fillId="0" borderId="0" applyAlignment="1" xfId="0"/>
    <xf numFmtId="188" applyNumberFormat="1" fontId="1" applyFont="1" fillId="0" borderId="0" applyAlignment="1" xfId="0"/>
    <xf numFmtId="189" applyNumberFormat="1" fontId="1" applyFont="1" fillId="0" borderId="0" applyAlignment="1" xfId="0"/>
    <xf numFmtId="190" applyNumberFormat="1" fontId="1" applyFont="1" fillId="0" borderId="0" applyAlignment="1" xfId="0"/>
    <xf numFmtId="0" fontId="1" applyFont="1" fillId="0" borderId="0" applyAlignment="1" xfId="0"/>
    <xf numFmtId="0" fontId="1" applyFont="1" fillId="0" borderId="135" applyBorder="1" applyAlignment="1" xfId="0">
      <alignment horizontal="center"/>
    </xf>
    <xf numFmtId="0" fontId="1" applyFont="1" fillId="0" borderId="136" applyBorder="1" applyAlignment="1" xfId="0">
      <alignment horizontal="center"/>
    </xf>
    <xf numFmtId="0" fontId="16" applyFont="1" fillId="6" applyFill="1" borderId="137" applyBorder="1" applyAlignment="1" xfId="2">
      <alignment horizontal="center" vertical="center"/>
    </xf>
    <xf numFmtId="0" fontId="16" applyFont="1" fillId="6" applyFill="1" borderId="138" applyBorder="1" applyAlignment="1" xfId="2">
      <alignment horizontal="center" vertical="center"/>
    </xf>
    <xf numFmtId="0" fontId="16" applyFont="1" fillId="6" applyFill="1" borderId="139" applyBorder="1" applyAlignment="1" xfId="2">
      <alignment horizontal="center" vertical="center"/>
    </xf>
    <xf numFmtId="0" fontId="16" applyFont="1" fillId="6" applyFill="1" borderId="140" applyBorder="1" applyAlignment="1" xfId="2">
      <alignment horizontal="center" vertical="center"/>
    </xf>
    <xf numFmtId="0" fontId="16" applyFont="1" fillId="6" applyFill="1" borderId="0" applyAlignment="1" xfId="2">
      <alignment horizontal="center" vertical="center"/>
    </xf>
    <xf numFmtId="0" fontId="16" applyFont="1" fillId="6" applyFill="1" borderId="141" applyBorder="1" applyAlignment="1" xfId="2">
      <alignment horizontal="center" vertical="center"/>
    </xf>
    <xf numFmtId="0" fontId="16" applyFont="1" fillId="6" applyFill="1" borderId="142" applyBorder="1" applyAlignment="1" xfId="2">
      <alignment horizontal="center" vertical="center"/>
    </xf>
    <xf numFmtId="0" fontId="16" applyFont="1" fillId="6" applyFill="1" borderId="143" applyBorder="1" applyAlignment="1" xfId="2">
      <alignment horizontal="center" vertical="center"/>
    </xf>
    <xf numFmtId="0" fontId="16" applyFont="1" fillId="6" applyFill="1" borderId="144" applyBorder="1" applyAlignment="1" xfId="2">
      <alignment horizontal="center" vertical="center"/>
    </xf>
    <xf numFmtId="0" fontId="21" applyFont="1" fillId="7" applyFill="1" borderId="145" applyBorder="1" applyAlignment="1" xfId="0">
      <alignment horizontal="center"/>
    </xf>
    <xf numFmtId="0" fontId="21" applyFont="1" fillId="7" applyFill="1" borderId="146" applyBorder="1" applyAlignment="1" xfId="0">
      <alignment horizontal="center"/>
    </xf>
    <xf numFmtId="0" fontId="21" applyFont="1" fillId="7" applyFill="1" borderId="147" applyBorder="1" applyAlignment="1" xfId="0">
      <alignment horizontal="center"/>
    </xf>
    <xf numFmtId="0" fontId="21" applyFont="1" fillId="7" applyFill="1" borderId="148" applyBorder="1" applyAlignment="1" xfId="0">
      <alignment horizontal="center"/>
    </xf>
    <xf numFmtId="0" fontId="21" applyFont="1" fillId="7" applyFill="1" borderId="149" applyBorder="1" applyAlignment="1" xfId="0">
      <alignment horizontal="center"/>
    </xf>
    <xf numFmtId="0" fontId="21" applyFont="1" fillId="7" applyFill="1" borderId="150" applyBorder="1" applyAlignment="1" xfId="0">
      <alignment horizontal="center"/>
    </xf>
    <xf numFmtId="0" fontId="1" applyFont="1" fillId="3" applyFill="1" borderId="0" applyAlignment="1" xfId="0">
      <alignment horizontal="center"/>
    </xf>
    <xf numFmtId="0" fontId="0" fillId="0" borderId="0" applyAlignment="1" xfId="0"/>
  </cellXfs>
  <cellStyles count="3">
    <cellStyle name="常规" xfId="0" builtinId="0"/>
    <cellStyle name="60% - 着色 3" xfId="1" builtinId="40"/>
    <cellStyle name="标题" xfId="2" builtinId="1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6.xml"/><Relationship Id="rId3" Type="http://schemas.openxmlformats.org/officeDocument/2006/relationships/worksheet" Target="worksheets/sheet8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r>
              <a:rPr lang="zh-CN" sz="18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rPr>
              <a:t>COMPARISON</a:t>
            </a:r>
            <a:r>
              <a:rPr lang="zh-CN" sz="18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rPr>
              <a:t> BETWEEN DEPARTMENTS</a:t>
            </a:r>
          </a:p>
        </c:rich>
      </c:tx>
      <c:layout/>
      <c:overlay val="0"/>
      <c:spPr>
        <a:ln>
          <a:noFill/>
        </a:ln>
      </c:spPr>
    </c:title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Values Sum of Sum of BONUS( 15%)</c:v>
          </c:tx>
          <c:spPr>
            <a:solidFill>
              <a:srgbClr val="4F81BD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'Sheet4'!$A$3:$A$6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'Sheet4'!$B$3:$B$6</c:f>
              <c:numCache>
                <c:formatCode>General</c:formatCode>
                <c:ptCount val="4"/>
                <c:pt idx="0">
                  <c:v>237765.0</c:v>
                </c:pt>
                <c:pt idx="1">
                  <c:v>181995.0</c:v>
                </c:pt>
                <c:pt idx="2">
                  <c:v>194865.0</c:v>
                </c:pt>
                <c:pt idx="3">
                  <c:v>614625.0</c:v>
                </c:pt>
              </c:numCache>
            </c:numRef>
          </c:val>
        </c:ser>
        <c:ser>
          <c:idx val="1"/>
          <c:order val="1"/>
          <c:tx>
            <c:v>Sum of Sum of NET SALARY </c:v>
          </c:tx>
          <c:spPr>
            <a:solidFill>
              <a:srgbClr val="C0504D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'Sheet4'!$A$3:$A$6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'Sheet4'!$C$3:$C$6</c:f>
              <c:numCache>
                <c:formatCode>General</c:formatCode>
                <c:ptCount val="4"/>
                <c:pt idx="0">
                  <c:v>2156312.6774193547</c:v>
                </c:pt>
                <c:pt idx="1">
                  <c:v>1659157.8709677418</c:v>
                </c:pt>
                <c:pt idx="2">
                  <c:v>1759885.9032258065</c:v>
                </c:pt>
                <c:pt idx="3">
                  <c:v>5575356.451612903</c:v>
                </c:pt>
              </c:numCache>
            </c:numRef>
          </c:val>
        </c:ser>
        <c:ser>
          <c:idx val="2"/>
          <c:order val="2"/>
          <c:tx>
            <c:v>Sum of Sum of OVERTIME SALARY</c:v>
          </c:tx>
          <c:spPr>
            <a:solidFill>
              <a:srgbClr val="9BBB5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'Sheet4'!$A$3:$A$6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'Sheet4'!$D$3:$D$6</c:f>
              <c:numCache>
                <c:formatCode>General</c:formatCode>
                <c:ptCount val="4"/>
                <c:pt idx="0">
                  <c:v>73887.09677419356</c:v>
                </c:pt>
                <c:pt idx="1">
                  <c:v>37205.645161290326</c:v>
                </c:pt>
                <c:pt idx="2">
                  <c:v>38927.419354838705</c:v>
                </c:pt>
                <c:pt idx="3">
                  <c:v>150020.16129032258</c:v>
                </c:pt>
              </c:numCache>
            </c:numRef>
          </c:val>
        </c:ser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r>
                  <a:rPr lang="zh-CN"/>
                  <a:t>DEPARTMENTS</a:t>
                </a:r>
              </a:p>
            </c:rich>
          </c:tx>
          <c:layout/>
          <c:overlay val="0"/>
          <c:spPr>
            <a:ln>
              <a:noFill/>
            </a:ln>
          </c:spPr>
        </c:title>
        <c:majorTickMark val="none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/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sng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Droid Sans"/>
                <a:ea typeface="Droid Sans"/>
                <a:cs typeface="Lucida Sans"/>
              </a:defRPr>
            </a:pPr>
            <a:r>
              <a:rPr lang="zh-CN"/>
              <a:t>NET SALARY ANALYSIS </a:t>
            </a:r>
          </a:p>
        </c:rich>
      </c:tx>
      <c:layout/>
      <c:overlay val="0"/>
      <c:spPr>
        <a:ln>
          <a:noFill/>
        </a:ln>
      </c:spPr>
    </c:title>
    <c:autoTitleDeleted val="1"/>
    <c:view3D>
      <c:rotX val="30"/>
      <c:rotY val="0"/>
      <c:depthPercent val="100"/>
      <c:rAngAx val="0"/>
      <c:perspective val="30"/>
    </c:view3D>
    <c:floor>
      <c:thickness val="0"/>
      <c:spPr>
        <a:ln w="12700">
          <a:solidFill>
            <a:srgbClr val="000000"/>
          </a:solidFill>
          <a:prstDash val="solid"/>
        </a:ln>
      </c:spPr>
    </c:floor>
    <c:sideWall>
      <c:thickness val="0"/>
      <c:spPr>
        <a:ln w="12700">
          <a:solidFill>
            <a:srgbClr val="000000"/>
          </a:solidFill>
          <a:prstDash val="solid"/>
        </a:ln>
      </c:spPr>
    </c:sideWall>
    <c:backWall>
      <c:thickness val="0"/>
      <c:spPr>
        <a:ln w="12700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0034605213"/>
          <c:y val="0.18020633"/>
          <c:w val="0.944674"/>
          <c:h val="0.75725067"/>
        </c:manualLayout>
      </c:layout>
      <c:pie3DChart>
        <c:varyColors val="1"/>
        <c:ser>
          <c:idx val="0"/>
          <c:order val="0"/>
          <c:tx>
            <c:v>HR  PAYROLL  DASHBOARD FOR JANUARY 2026 Sum of NET SALARY 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'dashboarding'!$B$15:$B$18</c:f>
              <c:numCache>
                <c:formatCode>General</c:formatCode>
                <c:ptCount val="4"/>
                <c:pt idx="0">
                  <c:v>2156312.6774193547</c:v>
                </c:pt>
                <c:pt idx="1">
                  <c:v>1659157.8709677418</c:v>
                </c:pt>
                <c:pt idx="2">
                  <c:v>1759885.9032258065</c:v>
                </c:pt>
                <c:pt idx="3">
                  <c:v>5575356.451612903</c:v>
                </c:pt>
              </c:numCache>
            </c:numRef>
          </c:val>
        </c:ser>
        <c:ser>
          <c:idx val="1"/>
          <c:order val="1"/>
          <c:tx>
            <c:v>Sum of BASIC SALARY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_ &quot;₹&quot; * #,##0.00_ ;_ &quot;₹&quot; * -#,##0.00_ ;_ &quot;₹&quot; * &quot;-&quot;??_ ;_ @_ 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'dashboarding'!$C$15:$C$18</c:f>
              <c:numCache>
                <c:formatCode>_ "₹" * #,##0.00_ ;_ "₹" * -#,##0.00_ ;_ "₹" * "-"??_ ;_ @_ </c:formatCode>
                <c:ptCount val="4"/>
                <c:pt idx="0">
                  <c:v>1441000.0</c:v>
                </c:pt>
                <c:pt idx="1">
                  <c:v>1103000.0</c:v>
                </c:pt>
                <c:pt idx="2">
                  <c:v>1181000.0</c:v>
                </c:pt>
                <c:pt idx="3">
                  <c:v>3725000.0</c:v>
                </c:pt>
              </c:numCache>
            </c:numRef>
          </c:val>
        </c:ser>
        <c:ser>
          <c:idx val="2"/>
          <c:order val="2"/>
          <c:tx>
            <c:v>Sum of LEAVES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'dashboarding'!$D$15:$D$18</c:f>
              <c:numCache>
                <c:formatCode>General</c:formatCode>
                <c:ptCount val="4"/>
                <c:pt idx="0">
                  <c:v>70.0</c:v>
                </c:pt>
                <c:pt idx="1">
                  <c:v>55.0</c:v>
                </c:pt>
                <c:pt idx="2">
                  <c:v>61.0</c:v>
                </c:pt>
                <c:pt idx="3">
                  <c:v>186.0</c:v>
                </c:pt>
              </c:numCache>
            </c:numRef>
          </c:val>
        </c:ser>
        <c:ser>
          <c:idx val="3"/>
          <c:order val="3"/>
          <c:tx>
            <c:v>Sum of BONUS( 15%)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'dashboarding'!$E$15:$E$18</c:f>
              <c:numCache>
                <c:formatCode>General</c:formatCode>
                <c:ptCount val="4"/>
                <c:pt idx="0">
                  <c:v>237765.0</c:v>
                </c:pt>
                <c:pt idx="1">
                  <c:v>181995.0</c:v>
                </c:pt>
                <c:pt idx="2">
                  <c:v>194865.0</c:v>
                </c:pt>
                <c:pt idx="3">
                  <c:v>614625.0</c:v>
                </c:pt>
              </c:numCache>
            </c:numRef>
          </c:val>
        </c:ser>
        <c:ser>
          <c:idx val="4"/>
          <c:order val="4"/>
          <c:tx>
            <c:v>Sum of PF (12%)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'dashboarding'!$F$15:$F$18</c:f>
              <c:numCache>
                <c:formatCode>General</c:formatCode>
                <c:ptCount val="4"/>
                <c:pt idx="0">
                  <c:v>190212.0</c:v>
                </c:pt>
                <c:pt idx="1">
                  <c:v>145596.0</c:v>
                </c:pt>
                <c:pt idx="2">
                  <c:v>155892.0</c:v>
                </c:pt>
                <c:pt idx="3">
                  <c:v>491700.0</c:v>
                </c:pt>
              </c:numCache>
            </c:numRef>
          </c:val>
        </c:ser>
        <c:ser>
          <c:idx val="5"/>
          <c:order val="5"/>
          <c:tx>
            <c:v>Sum of DA (10%)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'dashboarding'!$G$15:$G$18</c:f>
              <c:numCache>
                <c:formatCode>General</c:formatCode>
                <c:ptCount val="4"/>
                <c:pt idx="0">
                  <c:v>144100.0</c:v>
                </c:pt>
                <c:pt idx="1">
                  <c:v>110300.0</c:v>
                </c:pt>
                <c:pt idx="2">
                  <c:v>118100.0</c:v>
                </c:pt>
                <c:pt idx="3">
                  <c:v>372500.0</c:v>
                </c:pt>
              </c:numCache>
            </c:numRef>
          </c:val>
        </c:ser>
        <c:ser>
          <c:idx val="6"/>
          <c:order val="6"/>
          <c:tx>
            <c:v>Sum of OVERTIME HOURS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# &quot;HRS&quot;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'dashboarding'!$H$15:$H$18</c:f>
              <c:numCache>
                <c:formatCode># "HRS"</c:formatCode>
                <c:ptCount val="4"/>
                <c:pt idx="0">
                  <c:v>187.0</c:v>
                </c:pt>
                <c:pt idx="1">
                  <c:v>142.0</c:v>
                </c:pt>
                <c:pt idx="2">
                  <c:v>157.0</c:v>
                </c:pt>
                <c:pt idx="3">
                  <c:v>486.0</c:v>
                </c:pt>
              </c:numCache>
            </c:numRef>
          </c:val>
        </c:ser>
        <c:ser>
          <c:idx val="7"/>
          <c:order val="7"/>
          <c:tx>
            <c:v>Sum of OVERTIME SALARY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_ &quot;₹&quot; * #,##0_ ;_ &quot;₹&quot; * -#,##0_ ;_ &quot;₹&quot; * &quot;-&quot;_ ;_ @_ 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'dashboarding'!$I$15:$I$18</c:f>
              <c:numCache>
                <c:formatCode>_ "₹" * #,##0_ ;_ "₹" * -#,##0_ ;_ "₹" * "-"_ ;_ @_ </c:formatCode>
                <c:ptCount val="4"/>
                <c:pt idx="0">
                  <c:v>73887.09677419356</c:v>
                </c:pt>
                <c:pt idx="1">
                  <c:v>37205.645161290326</c:v>
                </c:pt>
                <c:pt idx="2">
                  <c:v>38927.419354838705</c:v>
                </c:pt>
                <c:pt idx="3">
                  <c:v>150020.16129032258</c:v>
                </c:pt>
              </c:numCache>
            </c:numRef>
          </c:val>
        </c:ser>
        <c:ser>
          <c:idx val="8"/>
          <c:order val="8"/>
          <c:tx>
            <c:v>Sum of CONVEYANCE (5%)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_ &quot;₹&quot; * #,##0_ ;_ &quot;₹&quot; * -#,##0_ ;_ &quot;₹&quot; * &quot;-&quot;_ ;_ @_ 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'dashboarding'!$J$15:$J$18</c:f>
              <c:numCache>
                <c:formatCode>_ "₹" * #,##0_ ;_ "₹" * -#,##0_ ;_ "₹" * "-"_ ;_ @_ </c:formatCode>
                <c:ptCount val="4"/>
                <c:pt idx="0">
                  <c:v>72050.0</c:v>
                </c:pt>
                <c:pt idx="1">
                  <c:v>55150.0</c:v>
                </c:pt>
                <c:pt idx="2">
                  <c:v>59050.0</c:v>
                </c:pt>
                <c:pt idx="3">
                  <c:v>186250.0</c:v>
                </c:pt>
              </c:numCache>
            </c:numRef>
          </c:val>
        </c:ser>
        <c:ser>
          <c:idx val="9"/>
          <c:order val="9"/>
          <c:tx>
            <c:v>Sum of HRA (40%)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'dashboarding'!$K$15:$K$18</c:f>
              <c:numCache>
                <c:formatCode>General</c:formatCode>
                <c:ptCount val="4"/>
                <c:pt idx="0">
                  <c:v>576400.0</c:v>
                </c:pt>
                <c:pt idx="1">
                  <c:v>441200.0</c:v>
                </c:pt>
                <c:pt idx="2">
                  <c:v>472400.0</c:v>
                </c:pt>
                <c:pt idx="3">
                  <c:v>1490000.0</c:v>
                </c:pt>
              </c:numCache>
            </c:numRef>
          </c:val>
        </c:ser>
        <c:ser>
          <c:idx val="10"/>
          <c:order val="10"/>
          <c:tx>
            <c:v>Sum of MEDICLAIM (500) </c:v>
          </c:tx>
          <c:dLbls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0%" sourceLinked="0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'dashboarding'!$A$15:$A$18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'dashboarding'!$L$15:$L$18</c:f>
              <c:numCache>
                <c:formatCode>General</c:formatCode>
                <c:ptCount val="4"/>
                <c:pt idx="0">
                  <c:v>9000.0</c:v>
                </c:pt>
                <c:pt idx="1">
                  <c:v>8000.0</c:v>
                </c:pt>
                <c:pt idx="2">
                  <c:v>8500.0</c:v>
                </c:pt>
                <c:pt idx="3">
                  <c:v>25500.0</c:v>
                </c:pt>
              </c:numCache>
            </c:numRef>
          </c:val>
        </c:ser>
        <c:gapDepth val="150"/>
        <c:firstSliceAng val="0"/>
      </c:pie3DChart>
      <c:spPr>
        <a:solidFill>
          <a:srgbClr val="FFFFFF"/>
        </a:solidFill>
      </c:spPr>
    </c:plotArea>
    <c:legend>
      <c:legendPos val="t"/>
      <c:layout/>
      <c:overlay val="0"/>
      <c:spPr>
        <a:noFill/>
        <a:ln>
          <a:noFill/>
        </a:ln>
      </c:spPr>
      <c:txPr>
        <a:bodyPr/>
        <a:lstStyle/>
        <a:p>
          <a:pPr>
            <a:defRPr sz="20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C5BE97"/>
    </a:solidFill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sng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Droid Sans"/>
                <a:ea typeface="Droid Sans"/>
                <a:cs typeface="Lucida Sans"/>
              </a:defRPr>
            </a:pPr>
            <a:r>
              <a:rPr lang="zh-CN"/>
              <a:t>COMPARISON BETWEEN DEPARTMENTS</a:t>
            </a:r>
          </a:p>
        </c:rich>
      </c:tx>
      <c:layout/>
      <c:overlay val="0"/>
      <c:spPr>
        <a:ln>
          <a:noFill/>
        </a:ln>
      </c:spPr>
    </c:title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Values Sum of Sum of BONUS( 15%)</c:v>
          </c:tx>
          <c:spPr>
            <a:solidFill>
              <a:srgbClr val="4F81BD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'Sheet4'!$A$3:$A$6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'Sheet4'!$B$3:$B$6</c:f>
              <c:numCache>
                <c:formatCode>General</c:formatCode>
                <c:ptCount val="4"/>
                <c:pt idx="0">
                  <c:v>237765.0</c:v>
                </c:pt>
                <c:pt idx="1">
                  <c:v>181995.0</c:v>
                </c:pt>
                <c:pt idx="2">
                  <c:v>194865.0</c:v>
                </c:pt>
                <c:pt idx="3">
                  <c:v>614625.0</c:v>
                </c:pt>
              </c:numCache>
            </c:numRef>
          </c:val>
        </c:ser>
        <c:ser>
          <c:idx val="1"/>
          <c:order val="1"/>
          <c:tx>
            <c:v>Sum of Sum of NET SALARY </c:v>
          </c:tx>
          <c:spPr>
            <a:solidFill>
              <a:srgbClr val="C0504D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'Sheet4'!$A$3:$A$6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'Sheet4'!$C$3:$C$6</c:f>
              <c:numCache>
                <c:formatCode>General</c:formatCode>
                <c:ptCount val="4"/>
                <c:pt idx="0">
                  <c:v>2156312.6774193547</c:v>
                </c:pt>
                <c:pt idx="1">
                  <c:v>1659157.8709677418</c:v>
                </c:pt>
                <c:pt idx="2">
                  <c:v>1759885.9032258065</c:v>
                </c:pt>
                <c:pt idx="3">
                  <c:v>5575356.451612903</c:v>
                </c:pt>
              </c:numCache>
            </c:numRef>
          </c:val>
        </c:ser>
        <c:ser>
          <c:idx val="2"/>
          <c:order val="2"/>
          <c:tx>
            <c:v>Sum of Sum of OVERTIME SALARY</c:v>
          </c:tx>
          <c:spPr>
            <a:solidFill>
              <a:srgbClr val="9BBB5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'Sheet4'!$A$3:$A$6</c:f>
              <c:strCache>
                <c:ptCount val="4"/>
                <c:pt idx="0">
                  <c:v>alpha</c:v>
                </c:pt>
                <c:pt idx="1">
                  <c:v>beta</c:v>
                </c:pt>
                <c:pt idx="2">
                  <c:v>gama</c:v>
                </c:pt>
                <c:pt idx="3">
                  <c:v>Grand Total</c:v>
                </c:pt>
              </c:strCache>
            </c:strRef>
          </c:cat>
          <c:val>
            <c:numRef>
              <c:f>'Sheet4'!$D$3:$D$6</c:f>
              <c:numCache>
                <c:formatCode>General</c:formatCode>
                <c:ptCount val="4"/>
                <c:pt idx="0">
                  <c:v>73887.09677419356</c:v>
                </c:pt>
                <c:pt idx="1">
                  <c:v>37205.645161290326</c:v>
                </c:pt>
                <c:pt idx="2">
                  <c:v>38927.419354838705</c:v>
                </c:pt>
                <c:pt idx="3">
                  <c:v>150020.16129032258</c:v>
                </c:pt>
              </c:numCache>
            </c:numRef>
          </c:val>
        </c:ser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C5BE97"/>
    </a:solidFill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15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r>
              <a:rPr lang="zh-CN" sz="2000" b="0" i="0" u="sng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Droid Sans"/>
                <a:ea typeface="Droid Sans"/>
                <a:cs typeface="Lucida Sans"/>
              </a:rPr>
              <a:t>COMPARISON</a:t>
            </a:r>
            <a:r>
              <a:rPr lang="zh-CN" sz="2000" b="0" i="0" u="sng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Droid Sans"/>
                <a:ea typeface="Droid Sans"/>
                <a:cs typeface="Lucida Sans"/>
              </a:rPr>
              <a:t> BETWEEN TOP 5 MOST SALARY PAID EMPLOYEES</a:t>
            </a:r>
          </a:p>
        </c:rich>
      </c:tx>
      <c:layout>
        <c:manualLayout>
          <c:xMode val="edge"/>
          <c:yMode val="edge"/>
          <c:x val="0.2038946"/>
          <c:y val="0.04775194"/>
        </c:manualLayout>
      </c:layout>
      <c:overlay val="0"/>
      <c:spPr>
        <a:ln>
          <a:noFill/>
        </a:ln>
      </c:spPr>
    </c:title>
    <c:autoTitleDeleted val="1"/>
    <c:plotArea>
      <c:layout>
        <c:manualLayout>
          <c:layoutTarget val="inner"/>
          <c:xMode val="edge"/>
          <c:yMode val="edge"/>
          <c:x val="0.15084745"/>
          <c:y val="0.17542724"/>
          <c:w val="0.52257377"/>
          <c:h val="0.6741982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OVERTIME SALARY</c:v>
          </c:tx>
          <c:spPr>
            <a:solidFill>
              <a:srgbClr val="4F81BD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5"/>
              <c:pt idx="0">
                <c:v>alpha 122403</c:v>
              </c:pt>
              <c:pt idx="1">
                <c:v>alpha 122418</c:v>
              </c:pt>
              <c:pt idx="2">
                <c:v>alpha 122427</c:v>
              </c:pt>
              <c:pt idx="3">
                <c:v>gama 122410</c:v>
              </c:pt>
              <c:pt idx="4">
                <c:v>gama 122446</c:v>
              </c:pt>
            </c:strLit>
          </c:cat>
          <c:val>
            <c:numRef>
              <c:f/>
              <c:numCache>
                <c:formatCode>General</c:formatCode>
                <c:ptCount val="5"/>
                <c:pt idx="0">
                  <c:v>14193.548387096802</c:v>
                </c:pt>
                <c:pt idx="1">
                  <c:v>8891.12903225806</c:v>
                </c:pt>
                <c:pt idx="2">
                  <c:v>16693.5483870968</c:v>
                </c:pt>
                <c:pt idx="3">
                  <c:v>5987.90322580645</c:v>
                </c:pt>
                <c:pt idx="4">
                  <c:v>3709.67741935484</c:v>
                </c:pt>
              </c:numCache>
            </c:numRef>
          </c:val>
        </c:ser>
        <c:ser>
          <c:idx val="1"/>
          <c:order val="1"/>
          <c:tx>
            <c:v>Sum of NET SALARY </c:v>
          </c:tx>
          <c:spPr>
            <a:solidFill>
              <a:srgbClr val="C0504D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5"/>
              <c:pt idx="0">
                <c:v>alpha 122403</c:v>
              </c:pt>
              <c:pt idx="1">
                <c:v>alpha 122418</c:v>
              </c:pt>
              <c:pt idx="2">
                <c:v>alpha 122427</c:v>
              </c:pt>
              <c:pt idx="3">
                <c:v>gama 122410</c:v>
              </c:pt>
              <c:pt idx="4">
                <c:v>gama 122446</c:v>
              </c:pt>
            </c:strLit>
          </c:cat>
          <c:val>
            <c:numRef>
              <c:f/>
              <c:numCache>
                <c:formatCode>General</c:formatCode>
                <c:ptCount val="5"/>
                <c:pt idx="0">
                  <c:v>263914.451612903</c:v>
                </c:pt>
                <c:pt idx="1">
                  <c:v>356710.0</c:v>
                </c:pt>
                <c:pt idx="2">
                  <c:v>343186.774193548</c:v>
                </c:pt>
                <c:pt idx="3">
                  <c:v>256037.74193548402</c:v>
                </c:pt>
                <c:pt idx="4">
                  <c:v>330202.903225806</c:v>
                </c:pt>
              </c:numCache>
            </c:numRef>
          </c:val>
        </c:ser>
        <c:ser>
          <c:idx val="2"/>
          <c:order val="2"/>
          <c:tx>
            <c:v>Sum of BASIC SALARY</c:v>
          </c:tx>
          <c:spPr>
            <a:solidFill>
              <a:srgbClr val="9BBB5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5"/>
              <c:pt idx="0">
                <c:v>alpha 122403</c:v>
              </c:pt>
              <c:pt idx="1">
                <c:v>alpha 122418</c:v>
              </c:pt>
              <c:pt idx="2">
                <c:v>alpha 122427</c:v>
              </c:pt>
              <c:pt idx="3">
                <c:v>gama 122410</c:v>
              </c:pt>
              <c:pt idx="4">
                <c:v>gama 122446</c:v>
              </c:pt>
            </c:strLit>
          </c:cat>
          <c:val>
            <c:numRef>
              <c:f/>
              <c:numCache>
                <c:formatCode>General</c:formatCode>
                <c:ptCount val="5"/>
                <c:pt idx="0">
                  <c:v>176000.0</c:v>
                </c:pt>
                <c:pt idx="1">
                  <c:v>245000.0</c:v>
                </c:pt>
                <c:pt idx="2">
                  <c:v>230000.0</c:v>
                </c:pt>
                <c:pt idx="3">
                  <c:v>165000.0</c:v>
                </c:pt>
                <c:pt idx="4">
                  <c:v>230000.0</c:v>
                </c:pt>
              </c:numCache>
            </c:numRef>
          </c:val>
        </c:ser>
        <c:gapWidth val="150"/>
        <c:axId val="0"/>
        <c:axId val="1"/>
      </c:barChart>
      <c:catAx>
        <c:axId val="0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70661944"/>
          <c:y val="0.37442404"/>
          <c:w val="0.24575432"/>
          <c:h val="0.25115156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C5BE97"/>
    </a:solidFill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sng" strike="noStrike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Droid Sans"/>
                <a:ea typeface="Droid Sans"/>
                <a:cs typeface="Lucida Sans"/>
              </a:defRPr>
            </a:pPr>
            <a:r>
              <a:rPr lang="zh-CN"/>
              <a:t>OVERTIME HOURS DEPARTMENT WISE</a:t>
            </a:r>
          </a:p>
        </c:rich>
      </c:tx>
      <c:layout/>
      <c:overlay val="0"/>
      <c:spPr>
        <a:ln>
          <a:noFill/>
        </a:ln>
      </c:spPr>
    </c:title>
    <c:autoTitleDeleted val="1"/>
    <c:plotArea>
      <c:layout/>
      <c:doughnutChart>
        <c:varyColors val="1"/>
        <c:ser>
          <c:idx val="0"/>
          <c:order val="0"/>
          <c:tx>
            <c:v>Total</c:v>
          </c:tx>
          <c:dLbls>
            <c:txPr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Droid Sans"/>
                    <a:ea typeface="Droid Sans"/>
                    <a:cs typeface="Lucida Sans"/>
                  </a:defRPr>
                </a:pPr>
                <a:endParaRPr lang="zh-CN"/>
              </a:p>
            </c:txPr>
            <c:numFmt formatCode="General" sourceLinked="1"/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Lit>
              <c:ptCount val="3"/>
              <c:pt idx="0">
                <c:v>alpha</c:v>
              </c:pt>
              <c:pt idx="1">
                <c:v>beta</c:v>
              </c:pt>
              <c:pt idx="2">
                <c:v>gama</c:v>
              </c:pt>
            </c:strLit>
          </c:cat>
          <c:val>
            <c:numRef>
              <c:f/>
              <c:numCache>
                <c:formatCode>General</c:formatCode>
                <c:ptCount val="3"/>
                <c:pt idx="0">
                  <c:v>187.0</c:v>
                </c:pt>
                <c:pt idx="1">
                  <c:v>142.0</c:v>
                </c:pt>
                <c:pt idx="2">
                  <c:v>157.0</c:v>
                </c:pt>
              </c:numCache>
            </c:numRef>
          </c:val>
        </c:ser>
        <c:holeSize val="50"/>
        <c:firstSliceAng val="0"/>
      </c:doughnutChart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C5BE97"/>
    </a:solidFill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1990725</xdr:colOff>
      <xdr:row>2</xdr:row>
      <xdr:rowOff>123825</xdr:rowOff>
    </xdr:from>
    <xdr:to>
      <xdr:col>11</xdr:col>
      <xdr:colOff>228600</xdr:colOff>
      <xdr:row>22</xdr:row>
      <xdr:rowOff>171448</xdr:rowOff>
    </xdr:to>
    <xdr:graphicFrame>
      <xdr:nvGraphicFramePr>
        <xdr:cNvPr id="2" name="Chart 1"/>
        <xdr:cNvGraphicFramePr/>
      </xdr:nvGraphicFramePr>
      <xdr:xfrm>
        <a:off x="8267604" y="504819"/>
        <a:ext cx="7324586" cy="3857566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20</xdr:row>
      <xdr:rowOff>86591</xdr:rowOff>
    </xdr:from>
    <xdr:to>
      <xdr:col>5</xdr:col>
      <xdr:colOff>547688</xdr:colOff>
      <xdr:row>48</xdr:row>
      <xdr:rowOff>95250</xdr:rowOff>
    </xdr:to>
    <xdr:graphicFrame>
      <xdr:nvGraphicFramePr>
        <xdr:cNvPr id="2" name="Chart 1"/>
        <xdr:cNvGraphicFramePr/>
      </xdr:nvGraphicFramePr>
      <xdr:xfrm>
        <a:off x="0" y="4582322"/>
        <a:ext cx="20673706" cy="5342577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twoCell">
    <xdr:from>
      <xdr:col>5</xdr:col>
      <xdr:colOff>1262062</xdr:colOff>
      <xdr:row>20</xdr:row>
      <xdr:rowOff>142875</xdr:rowOff>
    </xdr:from>
    <xdr:to>
      <xdr:col>12</xdr:col>
      <xdr:colOff>95249</xdr:colOff>
      <xdr:row>48</xdr:row>
      <xdr:rowOff>119060</xdr:rowOff>
    </xdr:to>
    <xdr:graphicFrame>
      <xdr:nvGraphicFramePr>
        <xdr:cNvPr id="3" name="Chart 4"/>
        <xdr:cNvGraphicFramePr/>
      </xdr:nvGraphicFramePr>
      <xdr:xfrm>
        <a:off x="21388080" y="4638606"/>
        <a:ext cx="17568576" cy="5310104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twoCell">
    <xdr:from>
      <xdr:col>0</xdr:col>
      <xdr:colOff>47624</xdr:colOff>
      <xdr:row>50</xdr:row>
      <xdr:rowOff>57150</xdr:rowOff>
    </xdr:from>
    <xdr:to>
      <xdr:col>5</xdr:col>
      <xdr:colOff>519544</xdr:colOff>
      <xdr:row>78</xdr:row>
      <xdr:rowOff>57150</xdr:rowOff>
    </xdr:to>
    <xdr:graphicFrame>
      <xdr:nvGraphicFramePr>
        <xdr:cNvPr id="4" name="Chart 3"/>
        <xdr:cNvGraphicFramePr/>
      </xdr:nvGraphicFramePr>
      <xdr:xfrm>
        <a:off x="47624" y="10267795"/>
        <a:ext cx="20597938" cy="5838736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 editAs="twoCell">
    <xdr:from>
      <xdr:col>5</xdr:col>
      <xdr:colOff>1143000</xdr:colOff>
      <xdr:row>50</xdr:row>
      <xdr:rowOff>119062</xdr:rowOff>
    </xdr:from>
    <xdr:to>
      <xdr:col>12</xdr:col>
      <xdr:colOff>285750</xdr:colOff>
      <xdr:row>78</xdr:row>
      <xdr:rowOff>23811</xdr:rowOff>
    </xdr:to>
    <xdr:graphicFrame>
      <xdr:nvGraphicFramePr>
        <xdr:cNvPr id="5" name="Chart 5"/>
        <xdr:cNvGraphicFramePr/>
      </xdr:nvGraphicFramePr>
      <xdr:xfrm>
        <a:off x="21269020" y="10329707"/>
        <a:ext cx="17878140" cy="5743485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38ED5"/>
    <outlinePr showOutlineSymbols="1"/>
  </sheetPr>
  <dimension ref="A1:AK185"/>
  <sheetViews>
    <sheetView zoomScale="33" zoomScaleNormal="33" topLeftCell="M79" workbookViewId="0">
      <selection activeCell="R137" activeCellId="0" sqref="R137"/>
    </sheetView>
  </sheetViews>
  <sheetFormatPr defaultRowHeight="15.0" defaultColWidth="9.0" x14ac:dyDescent="0.15"/>
  <cols>
    <col min="1" max="1" width="16.25" customWidth="1"/>
    <col min="2" max="2" width="16.625" customWidth="1"/>
    <col min="3" max="5" width="20.375" customWidth="1" style="1"/>
    <col min="6" max="6" width="22.5" customWidth="1" style="7"/>
    <col min="7" max="7" width="19.625" customWidth="1"/>
    <col min="8" max="8" width="21.375" customWidth="1"/>
    <col min="9" max="9" width="22.0" customWidth="1"/>
    <col min="10" max="10" width="16.625" customWidth="1"/>
    <col min="11" max="11" width="20.75" customWidth="1" style="7"/>
    <col min="12" max="12" width="20.875" customWidth="1"/>
    <col min="13" max="13" width="19.875" customWidth="1"/>
    <col min="14" max="14" width="19.5" customWidth="1" style="9"/>
    <col min="15" max="15" width="21.25" customWidth="1" style="10"/>
    <col min="16" max="16" width="20.0" customWidth="1"/>
    <col min="17" max="17" width="18.75" customWidth="1" style="7"/>
    <col min="18" max="18" width="24.25" customWidth="1" style="7"/>
    <col min="19" max="19" width="31.125" customWidth="1" style="14"/>
    <col min="20" max="21" width="9.0"/>
  </cols>
  <sheetData>
    <row r="1" spans="1:20" ht="15.0" customHeight="1" x14ac:dyDescent="0.15">
      <c r="A1" s="217" t="s">
        <v>157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5"/>
    </row>
    <row r="2" spans="1:20" ht="15.0" customHeight="1" x14ac:dyDescent="0.15">
      <c r="A2" s="214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2"/>
    </row>
    <row r="3" spans="1:20" ht="15.0" customHeight="1" x14ac:dyDescent="0.15">
      <c r="A3" s="211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09"/>
    </row>
    <row r="4" spans="1:20" s="1" customFormat="1" ht="15.0" customHeight="1" x14ac:dyDescent="0.15">
      <c r="A4" s="72"/>
      <c r="B4" s="72"/>
      <c r="C4" s="72"/>
      <c r="D4" s="72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73"/>
    </row>
    <row r="5" spans="1:19" ht="15.0" customHeight="1" x14ac:dyDescent="0.15">
      <c r="A5" s="223" t="s">
        <v>158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1"/>
    </row>
    <row r="6" spans="1:19" ht="15.0" customHeight="1" x14ac:dyDescent="0.15">
      <c r="A6" s="220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8"/>
    </row>
    <row r="7" spans="1:19" ht="15.0" customHeight="1" x14ac:dyDescent="0.15">
      <c r="A7" s="69"/>
      <c r="B7" s="70"/>
      <c r="C7" s="70"/>
      <c r="D7" s="70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7"/>
    </row>
    <row r="8" spans="1:37" s="23" customFormat="1" ht="59.25" customHeight="1" x14ac:dyDescent="0.15">
      <c r="A8" s="19" t="s">
        <v>0</v>
      </c>
      <c r="B8" s="19" t="s">
        <v>1</v>
      </c>
      <c r="C8" s="19" t="s">
        <v>2</v>
      </c>
      <c r="D8" s="19" t="s">
        <v>3</v>
      </c>
      <c r="E8" s="19" t="s">
        <v>4</v>
      </c>
      <c r="F8" s="20" t="s">
        <v>5</v>
      </c>
      <c r="G8" s="19" t="s">
        <v>6</v>
      </c>
      <c r="H8" s="19" t="s">
        <v>7</v>
      </c>
      <c r="I8" s="19" t="s">
        <v>8</v>
      </c>
      <c r="J8" s="19" t="s">
        <v>9</v>
      </c>
      <c r="K8" s="20" t="s">
        <v>10</v>
      </c>
      <c r="L8" s="19" t="s">
        <v>11</v>
      </c>
      <c r="M8" s="19" t="s">
        <v>12</v>
      </c>
      <c r="N8" s="21" t="s">
        <v>13</v>
      </c>
      <c r="O8" s="22" t="s">
        <v>14</v>
      </c>
      <c r="P8" s="19" t="s">
        <v>15</v>
      </c>
      <c r="Q8" s="20" t="s">
        <v>16</v>
      </c>
      <c r="R8" s="20" t="s">
        <v>17</v>
      </c>
      <c r="S8" s="20" t="s">
        <v>18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19" ht="18.75" customHeight="1" x14ac:dyDescent="0.15">
      <c r="A9" s="2">
        <v>122401.0</v>
      </c>
      <c r="B9" s="2" t="s">
        <v>19</v>
      </c>
      <c r="C9" s="12" t="s">
        <v>20</v>
      </c>
      <c r="D9" s="12" t="s">
        <v>21</v>
      </c>
      <c r="E9" s="12">
        <v>1.224140001E9</v>
      </c>
      <c r="F9" s="6">
        <v>150000.0</v>
      </c>
      <c r="G9" s="6">
        <f>F9*40/100</f>
        <v>60000</v>
      </c>
      <c r="H9" s="6">
        <f>F9*10/100</f>
        <v>15000</v>
      </c>
      <c r="I9" s="6">
        <f>F9*5/100</f>
        <v>7500</v>
      </c>
      <c r="J9" s="3">
        <v>4.0</v>
      </c>
      <c r="K9" s="6">
        <f>F9/248</f>
        <v>604.838709677419</v>
      </c>
      <c r="L9" s="4">
        <f>K9*J9</f>
        <v>2419.35483870967</v>
      </c>
      <c r="M9" s="4">
        <f>(F9+H9)*15/100</f>
        <v>24750</v>
      </c>
      <c r="N9" s="8">
        <v>3.0</v>
      </c>
      <c r="O9" s="11">
        <f>(F9/31)*N9</f>
        <v>14516.129032258</v>
      </c>
      <c r="P9" s="4">
        <f>(F9+G9+H9+I9+L9+M9)-O9</f>
        <v>245153.225806451</v>
      </c>
      <c r="Q9" s="13">
        <f>(F9+H9)*12/100</f>
        <v>19800</v>
      </c>
      <c r="R9" s="13">
        <v>500.0</v>
      </c>
      <c r="S9" s="18">
        <f>P9-Q9-R9</f>
        <v>224853.225806451</v>
      </c>
    </row>
    <row r="10" spans="1:19" ht="18.75" customHeight="1" x14ac:dyDescent="0.15">
      <c r="A10" s="2">
        <v>122402.0</v>
      </c>
      <c r="B10" s="2" t="s">
        <v>60</v>
      </c>
      <c r="C10" s="12" t="s">
        <v>61</v>
      </c>
      <c r="D10" s="12" t="s">
        <v>57</v>
      </c>
      <c r="E10" s="12">
        <v>1.224140002E9</v>
      </c>
      <c r="F10" s="6">
        <v>20000.0</v>
      </c>
      <c r="G10" s="6">
        <f>F10*40/100</f>
        <v>8000</v>
      </c>
      <c r="H10" s="6">
        <f>F10*10/100</f>
        <v>2000</v>
      </c>
      <c r="I10" s="6">
        <f>F10*5/100</f>
        <v>1000</v>
      </c>
      <c r="J10" s="3">
        <v>9.0</v>
      </c>
      <c r="K10" s="6">
        <f>F10/248</f>
        <v>80.6451612903225</v>
      </c>
      <c r="L10" s="4">
        <f>K10*J10</f>
        <v>725.806451612903</v>
      </c>
      <c r="M10" s="4">
        <f>(F10+H10)*15/100</f>
        <v>3300</v>
      </c>
      <c r="N10" s="8">
        <v>4.0</v>
      </c>
      <c r="O10" s="11">
        <f>(F10/31)*N10</f>
        <v>2580.64516129032</v>
      </c>
      <c r="P10" s="4">
        <f>(F10+G10+H10+I10+L10+M10)-O10</f>
        <v>32445.1612903225</v>
      </c>
      <c r="Q10" s="13">
        <f>(F10+H10)*12/100</f>
        <v>2640</v>
      </c>
      <c r="R10" s="13">
        <v>500.0</v>
      </c>
      <c r="S10" s="18">
        <f>P10-Q10-R10</f>
        <v>29305.1612903225</v>
      </c>
    </row>
    <row r="11" spans="1:19" ht="18.75" customHeight="1" x14ac:dyDescent="0.15">
      <c r="A11" s="2">
        <v>122403.0</v>
      </c>
      <c r="B11" s="2" t="s">
        <v>62</v>
      </c>
      <c r="C11" s="12" t="s">
        <v>63</v>
      </c>
      <c r="D11" s="12" t="s">
        <v>57</v>
      </c>
      <c r="E11" s="12">
        <v>1.224140003E9</v>
      </c>
      <c r="F11" s="6">
        <v>176000.0</v>
      </c>
      <c r="G11" s="6">
        <f>F11*40/100</f>
        <v>70400</v>
      </c>
      <c r="H11" s="6">
        <f>F11*10/100</f>
        <v>17600</v>
      </c>
      <c r="I11" s="6">
        <f>F11*5/100</f>
        <v>8800</v>
      </c>
      <c r="J11" s="3">
        <v>20.0</v>
      </c>
      <c r="K11" s="6">
        <f>F11/248</f>
        <v>709.677419354838</v>
      </c>
      <c r="L11" s="4">
        <f>K11*J11</f>
        <v>14193.5483870967</v>
      </c>
      <c r="M11" s="4">
        <f>(F11+H11)*15/100</f>
        <v>29040</v>
      </c>
      <c r="N11" s="8">
        <v>5.0</v>
      </c>
      <c r="O11" s="11">
        <f>(F11/31)*N11</f>
        <v>28387.0967741935</v>
      </c>
      <c r="P11" s="4">
        <f>(F11+G11+H11+I11+L11+M11)-O11</f>
        <v>287646.451612903</v>
      </c>
      <c r="Q11" s="13">
        <f>(F11+H11)*12/100</f>
        <v>23232</v>
      </c>
      <c r="R11" s="13">
        <v>500.0</v>
      </c>
      <c r="S11" s="18">
        <f>P11-Q11-R11</f>
        <v>263914.451612903</v>
      </c>
    </row>
    <row r="12" spans="1:19" ht="18.75" customHeight="1" x14ac:dyDescent="0.15">
      <c r="A12" s="2">
        <v>122404.0</v>
      </c>
      <c r="B12" s="2" t="s">
        <v>64</v>
      </c>
      <c r="C12" s="12" t="s">
        <v>65</v>
      </c>
      <c r="D12" s="12" t="s">
        <v>57</v>
      </c>
      <c r="E12" s="12">
        <v>1.224140004E9</v>
      </c>
      <c r="F12" s="6">
        <v>43000.0</v>
      </c>
      <c r="G12" s="6">
        <f>F12*40/100</f>
        <v>17200</v>
      </c>
      <c r="H12" s="6">
        <f>F12*10/100</f>
        <v>4300</v>
      </c>
      <c r="I12" s="6">
        <f>F12*5/100</f>
        <v>2150</v>
      </c>
      <c r="J12" s="3">
        <v>13.0</v>
      </c>
      <c r="K12" s="6">
        <f>F12/248</f>
        <v>173.387096774193</v>
      </c>
      <c r="L12" s="4">
        <f>K12*J12</f>
        <v>2254.03225806451</v>
      </c>
      <c r="M12" s="4">
        <f>(F12+H12)*15/100</f>
        <v>7095</v>
      </c>
      <c r="N12" s="8">
        <v>6.0</v>
      </c>
      <c r="O12" s="11">
        <f>(F12/31)*N12</f>
        <v>8322.58064516128</v>
      </c>
      <c r="P12" s="4">
        <f>(F12+G12+H12+I12+L12+M12)-O12</f>
        <v>67676.4516129032</v>
      </c>
      <c r="Q12" s="13">
        <f>(F12+H12)*12/100</f>
        <v>5676</v>
      </c>
      <c r="R12" s="13">
        <v>500.0</v>
      </c>
      <c r="S12" s="18">
        <f>P12-Q12-R12</f>
        <v>61500.4516129032</v>
      </c>
    </row>
    <row r="13" spans="1:19" ht="18.75" customHeight="1" x14ac:dyDescent="0.15">
      <c r="A13" s="2">
        <v>122405.0</v>
      </c>
      <c r="B13" s="2" t="s">
        <v>28</v>
      </c>
      <c r="C13" s="12" t="s">
        <v>29</v>
      </c>
      <c r="D13" s="12" t="s">
        <v>21</v>
      </c>
      <c r="E13" s="12">
        <v>1.224140005E9</v>
      </c>
      <c r="F13" s="6">
        <v>66000.0</v>
      </c>
      <c r="G13" s="6">
        <f>F13*40/100</f>
        <v>26400</v>
      </c>
      <c r="H13" s="6">
        <f>F13*10/100</f>
        <v>6600</v>
      </c>
      <c r="I13" s="6">
        <f>F13*5/100</f>
        <v>3300</v>
      </c>
      <c r="J13" s="3">
        <v>12.0</v>
      </c>
      <c r="K13" s="6">
        <f>F13/248</f>
        <v>266.129032258064</v>
      </c>
      <c r="L13" s="4">
        <f>K13*J13</f>
        <v>3193.54838709677</v>
      </c>
      <c r="M13" s="4">
        <f>(F13+H13)*15/100</f>
        <v>10890</v>
      </c>
      <c r="N13" s="8">
        <v>7.0</v>
      </c>
      <c r="O13" s="11">
        <f>(F13/31)*N13</f>
        <v>14903.2258064516</v>
      </c>
      <c r="P13" s="4">
        <f>(F13+G13+H13+I13+L13+M13)-O13</f>
        <v>101480.322580645</v>
      </c>
      <c r="Q13" s="13">
        <f>(F13+H13)*12/100</f>
        <v>8712</v>
      </c>
      <c r="R13" s="13">
        <v>500.0</v>
      </c>
      <c r="S13" s="18">
        <f>P13-Q13-R13</f>
        <v>92268.3225806451</v>
      </c>
    </row>
    <row r="14" spans="1:19" ht="18.75" customHeight="1" x14ac:dyDescent="0.15">
      <c r="A14" s="2">
        <v>122406.0</v>
      </c>
      <c r="B14" s="2" t="s">
        <v>30</v>
      </c>
      <c r="C14" s="12" t="s">
        <v>31</v>
      </c>
      <c r="D14" s="12" t="s">
        <v>21</v>
      </c>
      <c r="E14" s="12">
        <v>1.224140006E9</v>
      </c>
      <c r="F14" s="6">
        <v>44000.0</v>
      </c>
      <c r="G14" s="6">
        <f>F14*40/100</f>
        <v>17600</v>
      </c>
      <c r="H14" s="6">
        <f>F14*10/100</f>
        <v>4400</v>
      </c>
      <c r="I14" s="6">
        <f>F14*5/100</f>
        <v>2200</v>
      </c>
      <c r="J14" s="3">
        <v>9.0</v>
      </c>
      <c r="K14" s="6">
        <f>F14/248</f>
        <v>177.419354838709</v>
      </c>
      <c r="L14" s="4">
        <f>K14*J14</f>
        <v>1596.77419354838</v>
      </c>
      <c r="M14" s="4">
        <f>(F14+H14)*15/100</f>
        <v>7260</v>
      </c>
      <c r="N14" s="8">
        <v>8.0</v>
      </c>
      <c r="O14" s="11">
        <f>(F14/31)*N14</f>
        <v>11354.8387096774</v>
      </c>
      <c r="P14" s="4">
        <f>(F14+G14+H14+I14+L14+M14)-O14</f>
        <v>65701.9354838709</v>
      </c>
      <c r="Q14" s="13">
        <f>(F14+H14)*12/100</f>
        <v>5808</v>
      </c>
      <c r="R14" s="13">
        <v>500.0</v>
      </c>
      <c r="S14" s="18">
        <f>P14-Q14-R14</f>
        <v>59393.9354838709</v>
      </c>
    </row>
    <row r="15" spans="1:19" ht="18.75" customHeight="1" x14ac:dyDescent="0.15">
      <c r="A15" s="2">
        <v>122407.0</v>
      </c>
      <c r="B15" s="2" t="s">
        <v>32</v>
      </c>
      <c r="C15" s="12" t="s">
        <v>33</v>
      </c>
      <c r="D15" s="12" t="s">
        <v>21</v>
      </c>
      <c r="E15" s="12">
        <v>1.224140007E9</v>
      </c>
      <c r="F15" s="6">
        <v>65000.0</v>
      </c>
      <c r="G15" s="6">
        <f>F15*40/100</f>
        <v>26000</v>
      </c>
      <c r="H15" s="6">
        <f>F15*10/100</f>
        <v>6500</v>
      </c>
      <c r="I15" s="6">
        <f>F15*5/100</f>
        <v>3250</v>
      </c>
      <c r="J15" s="3">
        <v>32.0</v>
      </c>
      <c r="K15" s="6">
        <f>F15/248</f>
        <v>262.096774193548</v>
      </c>
      <c r="L15" s="4">
        <f>K15*J15</f>
        <v>8387.09677419354</v>
      </c>
      <c r="M15" s="4">
        <f>(F15+H15)*15/100</f>
        <v>10725</v>
      </c>
      <c r="N15" s="8">
        <v>9.0</v>
      </c>
      <c r="O15" s="11">
        <f>(F15/31)*N15</f>
        <v>18870.9677419354</v>
      </c>
      <c r="P15" s="4">
        <f>(F15+G15+H15+I15+L15+M15)-O15</f>
        <v>100991.129032258</v>
      </c>
      <c r="Q15" s="13">
        <f>(F15+H15)*12/100</f>
        <v>8580</v>
      </c>
      <c r="R15" s="13">
        <v>500.0</v>
      </c>
      <c r="S15" s="18">
        <f>P15-Q15-R15</f>
        <v>91911.129032258</v>
      </c>
    </row>
    <row r="16" spans="1:19" ht="18.75" customHeight="1" x14ac:dyDescent="0.15">
      <c r="A16" s="2">
        <v>122408.0</v>
      </c>
      <c r="B16" s="2" t="s">
        <v>34</v>
      </c>
      <c r="C16" s="12" t="s">
        <v>35</v>
      </c>
      <c r="D16" s="12" t="s">
        <v>21</v>
      </c>
      <c r="E16" s="12">
        <v>1.224140008E9</v>
      </c>
      <c r="F16" s="6">
        <v>65000.0</v>
      </c>
      <c r="G16" s="6">
        <f>F16*40/100</f>
        <v>26000</v>
      </c>
      <c r="H16" s="6">
        <f>F16*10/100</f>
        <v>6500</v>
      </c>
      <c r="I16" s="6">
        <f>F16*5/100</f>
        <v>3250</v>
      </c>
      <c r="J16" s="3">
        <v>21.0</v>
      </c>
      <c r="K16" s="6">
        <f>F16/248</f>
        <v>262.096774193548</v>
      </c>
      <c r="L16" s="4">
        <f>K16*J16</f>
        <v>5504.03225806451</v>
      </c>
      <c r="M16" s="4">
        <f>(F16+H16)*15/100</f>
        <v>10725</v>
      </c>
      <c r="N16" s="8">
        <v>2.0</v>
      </c>
      <c r="O16" s="11">
        <f>(F16/31)*N16</f>
        <v>4193.54838709677</v>
      </c>
      <c r="P16" s="4">
        <f>(F16+G16+H16+I16+L16+M16)-O16</f>
        <v>112785.483870967</v>
      </c>
      <c r="Q16" s="13">
        <f>(F16+H16)*12/100</f>
        <v>8580</v>
      </c>
      <c r="R16" s="13">
        <v>500.0</v>
      </c>
      <c r="S16" s="18">
        <f>P16-Q16-R16</f>
        <v>103705.483870967</v>
      </c>
    </row>
    <row r="17" spans="1:19" ht="18.75" customHeight="1" x14ac:dyDescent="0.15">
      <c r="A17" s="2">
        <v>122409.0</v>
      </c>
      <c r="B17" s="2" t="s">
        <v>95</v>
      </c>
      <c r="C17" s="12" t="s">
        <v>96</v>
      </c>
      <c r="D17" s="12" t="s">
        <v>58</v>
      </c>
      <c r="E17" s="12">
        <v>1.224140009E9</v>
      </c>
      <c r="F17" s="6">
        <v>65000.0</v>
      </c>
      <c r="G17" s="6">
        <f>F17*40/100</f>
        <v>26000</v>
      </c>
      <c r="H17" s="6">
        <f>F17*10/100</f>
        <v>6500</v>
      </c>
      <c r="I17" s="6">
        <f>F17*5/100</f>
        <v>3250</v>
      </c>
      <c r="J17" s="3">
        <v>34.0</v>
      </c>
      <c r="K17" s="6">
        <f>F17/248</f>
        <v>262.096774193548</v>
      </c>
      <c r="L17" s="4">
        <f>K17*J17</f>
        <v>8911.29032258064</v>
      </c>
      <c r="M17" s="4">
        <f>(F17+H17)*15/100</f>
        <v>10725</v>
      </c>
      <c r="N17" s="8">
        <v>2.0</v>
      </c>
      <c r="O17" s="11">
        <f>(F17/31)*N17</f>
        <v>4193.54838709677</v>
      </c>
      <c r="P17" s="4">
        <f>(F17+G17+H17+I17+L17+M17)-O17</f>
        <v>116192.741935483</v>
      </c>
      <c r="Q17" s="13">
        <f>(F17+H17)*12/100</f>
        <v>8580</v>
      </c>
      <c r="R17" s="13">
        <v>500.0</v>
      </c>
      <c r="S17" s="18">
        <f>P17-Q17-R17</f>
        <v>107112.741935483</v>
      </c>
    </row>
    <row r="18" spans="1:19" ht="18.75" customHeight="1" x14ac:dyDescent="0.15">
      <c r="A18" s="2">
        <v>122410.0</v>
      </c>
      <c r="B18" s="2" t="s">
        <v>97</v>
      </c>
      <c r="C18" s="12" t="s">
        <v>98</v>
      </c>
      <c r="D18" s="12" t="s">
        <v>58</v>
      </c>
      <c r="E18" s="12">
        <v>1.22414001E9</v>
      </c>
      <c r="F18" s="6">
        <v>165000.0</v>
      </c>
      <c r="G18" s="6">
        <f>F18*40/100</f>
        <v>66000</v>
      </c>
      <c r="H18" s="6">
        <f>F18*10/100</f>
        <v>16500</v>
      </c>
      <c r="I18" s="6">
        <f>F18*5/100</f>
        <v>8250</v>
      </c>
      <c r="J18" s="3">
        <v>9.0</v>
      </c>
      <c r="K18" s="6">
        <f>F18/248</f>
        <v>665.322580645161</v>
      </c>
      <c r="L18" s="4">
        <f>K18*J18</f>
        <v>5987.90322580645</v>
      </c>
      <c r="M18" s="4">
        <f>(F18+H18)*15/100</f>
        <v>27225</v>
      </c>
      <c r="N18" s="8">
        <v>2.0</v>
      </c>
      <c r="O18" s="11">
        <f>(F18/31)*N18</f>
        <v>10645.1612903225</v>
      </c>
      <c r="P18" s="4">
        <f>(F18+G18+H18+I18+L18+M18)-O18</f>
        <v>278317.741935483</v>
      </c>
      <c r="Q18" s="13">
        <f>(F18+H18)*12/100</f>
        <v>21780</v>
      </c>
      <c r="R18" s="13">
        <v>500.0</v>
      </c>
      <c r="S18" s="18">
        <f>P18-Q18-R18</f>
        <v>256037.741935483</v>
      </c>
    </row>
    <row r="19" spans="1:19" ht="18.75" customHeight="1" x14ac:dyDescent="0.15">
      <c r="A19" s="2">
        <v>122411.0</v>
      </c>
      <c r="B19" s="2" t="s">
        <v>49</v>
      </c>
      <c r="C19" s="12" t="s">
        <v>66</v>
      </c>
      <c r="D19" s="12" t="s">
        <v>57</v>
      </c>
      <c r="E19" s="12">
        <v>1.224140011E9</v>
      </c>
      <c r="F19" s="6">
        <v>75000.0</v>
      </c>
      <c r="G19" s="6">
        <f>F19*40/100</f>
        <v>30000</v>
      </c>
      <c r="H19" s="6">
        <f>F19*10/100</f>
        <v>7500</v>
      </c>
      <c r="I19" s="6">
        <f>F19*5/100</f>
        <v>3750</v>
      </c>
      <c r="J19" s="3">
        <v>11.0</v>
      </c>
      <c r="K19" s="6">
        <f>F19/248</f>
        <v>302.419354838709</v>
      </c>
      <c r="L19" s="4">
        <f>K19*J19</f>
        <v>3326.6129032258</v>
      </c>
      <c r="M19" s="4">
        <f>(F19+H19)*15/100</f>
        <v>12375</v>
      </c>
      <c r="N19" s="8">
        <v>2.0</v>
      </c>
      <c r="O19" s="11">
        <f>(F19/31)*N19</f>
        <v>4838.70967741935</v>
      </c>
      <c r="P19" s="4">
        <f>(F19+G19+H19+I19+L19+M19)-O19</f>
        <v>127112.903225806</v>
      </c>
      <c r="Q19" s="13">
        <f>(F19+H19)*12/100</f>
        <v>9900</v>
      </c>
      <c r="R19" s="13">
        <v>500.0</v>
      </c>
      <c r="S19" s="18">
        <f>P19-Q19-R19</f>
        <v>116712.903225806</v>
      </c>
    </row>
    <row r="20" spans="1:19" ht="18.75" customHeight="1" x14ac:dyDescent="0.15">
      <c r="A20" s="2">
        <v>122412.0</v>
      </c>
      <c r="B20" s="2" t="s">
        <v>67</v>
      </c>
      <c r="C20" s="12" t="s">
        <v>68</v>
      </c>
      <c r="D20" s="12" t="s">
        <v>57</v>
      </c>
      <c r="E20" s="12">
        <v>1.224140012E9</v>
      </c>
      <c r="F20" s="6">
        <v>65000.0</v>
      </c>
      <c r="G20" s="6">
        <f>F20*40/100</f>
        <v>26000</v>
      </c>
      <c r="H20" s="6">
        <f>F20*10/100</f>
        <v>6500</v>
      </c>
      <c r="I20" s="6">
        <f>F20*5/100</f>
        <v>3250</v>
      </c>
      <c r="J20" s="3">
        <v>7.0</v>
      </c>
      <c r="K20" s="6">
        <f>F20/248</f>
        <v>262.096774193548</v>
      </c>
      <c r="L20" s="4">
        <f>K20*J20</f>
        <v>1834.67741935483</v>
      </c>
      <c r="M20" s="4">
        <f>(F20+H20)*15/100</f>
        <v>10725</v>
      </c>
      <c r="N20" s="8">
        <v>2.0</v>
      </c>
      <c r="O20" s="11">
        <f>(F20/31)*N20</f>
        <v>4193.54838709677</v>
      </c>
      <c r="P20" s="4">
        <f>(F20+G20+H20+I20+L20+M20)-O20</f>
        <v>109116.129032258</v>
      </c>
      <c r="Q20" s="13">
        <f>(F20+H20)*12/100</f>
        <v>8580</v>
      </c>
      <c r="R20" s="13">
        <v>500.0</v>
      </c>
      <c r="S20" s="18">
        <f>P20-Q20-R20</f>
        <v>100036.129032258</v>
      </c>
    </row>
    <row r="21" spans="1:19" ht="18.75" customHeight="1" x14ac:dyDescent="0.15">
      <c r="A21" s="2">
        <v>122413.0</v>
      </c>
      <c r="B21" s="2" t="s">
        <v>99</v>
      </c>
      <c r="C21" s="12" t="s">
        <v>100</v>
      </c>
      <c r="D21" s="12" t="s">
        <v>58</v>
      </c>
      <c r="E21" s="12">
        <v>1.224140013E9</v>
      </c>
      <c r="F21" s="6">
        <v>65000.0</v>
      </c>
      <c r="G21" s="6">
        <f>F21*40/100</f>
        <v>26000</v>
      </c>
      <c r="H21" s="6">
        <f>F21*10/100</f>
        <v>6500</v>
      </c>
      <c r="I21" s="6">
        <f>F21*5/100</f>
        <v>3250</v>
      </c>
      <c r="J21" s="3">
        <v>8.0</v>
      </c>
      <c r="K21" s="6">
        <f>F21/248</f>
        <v>262.096774193548</v>
      </c>
      <c r="L21" s="4">
        <f>K21*J21</f>
        <v>2096.77419354838</v>
      </c>
      <c r="M21" s="4">
        <f>(F21+H21)*15/100</f>
        <v>10725</v>
      </c>
      <c r="N21" s="8">
        <v>2.0</v>
      </c>
      <c r="O21" s="11">
        <f>(F21/31)*N21</f>
        <v>4193.54838709677</v>
      </c>
      <c r="P21" s="4">
        <f>(F21+G21+H21+I21+L21+M21)-O21</f>
        <v>109378.225806451</v>
      </c>
      <c r="Q21" s="13">
        <f>(F21+H21)*12/100</f>
        <v>8580</v>
      </c>
      <c r="R21" s="13">
        <v>500.0</v>
      </c>
      <c r="S21" s="18">
        <f>P21-Q21-R21</f>
        <v>100298.225806451</v>
      </c>
    </row>
    <row r="22" spans="1:19" ht="18.75" customHeight="1" x14ac:dyDescent="0.15">
      <c r="A22" s="2">
        <v>122414.0</v>
      </c>
      <c r="B22" s="2" t="s">
        <v>46</v>
      </c>
      <c r="C22" s="12" t="s">
        <v>47</v>
      </c>
      <c r="D22" s="12" t="s">
        <v>21</v>
      </c>
      <c r="E22" s="12">
        <v>1.224140014E9</v>
      </c>
      <c r="F22" s="6">
        <v>70000.0</v>
      </c>
      <c r="G22" s="6">
        <f>F22*40/100</f>
        <v>28000</v>
      </c>
      <c r="H22" s="6">
        <f>F22*10/100</f>
        <v>7000</v>
      </c>
      <c r="I22" s="6">
        <f>F22*5/100</f>
        <v>3500</v>
      </c>
      <c r="J22" s="3">
        <v>13.0</v>
      </c>
      <c r="K22" s="6">
        <f>F22/248</f>
        <v>282.258064516129</v>
      </c>
      <c r="L22" s="4">
        <f>K22*J22</f>
        <v>3669.35483870967</v>
      </c>
      <c r="M22" s="4">
        <f>(F22+H22)*15/100</f>
        <v>11550</v>
      </c>
      <c r="N22" s="8">
        <v>2.0</v>
      </c>
      <c r="O22" s="11">
        <f>(F22/31)*N22</f>
        <v>4516.12903225806</v>
      </c>
      <c r="P22" s="4">
        <f>(F22+G22+H22+I22+L22+M22)-O22</f>
        <v>119203.225806451</v>
      </c>
      <c r="Q22" s="13">
        <f>(F22+H22)*12/100</f>
        <v>9240</v>
      </c>
      <c r="R22" s="13">
        <v>500.0</v>
      </c>
      <c r="S22" s="18">
        <f>P22-Q22-R22</f>
        <v>109463.225806451</v>
      </c>
    </row>
    <row r="23" spans="1:19" ht="18.75" customHeight="1" x14ac:dyDescent="0.15">
      <c r="A23" s="2">
        <v>122415.0</v>
      </c>
      <c r="B23" s="2" t="s">
        <v>69</v>
      </c>
      <c r="C23" s="12" t="s">
        <v>70</v>
      </c>
      <c r="D23" s="12" t="s">
        <v>57</v>
      </c>
      <c r="E23" s="12">
        <v>1.224140015E9</v>
      </c>
      <c r="F23" s="6">
        <v>65000.0</v>
      </c>
      <c r="G23" s="6">
        <f>F23*40/100</f>
        <v>26000</v>
      </c>
      <c r="H23" s="6">
        <f>F23*10/100</f>
        <v>6500</v>
      </c>
      <c r="I23" s="6">
        <f>F23*5/100</f>
        <v>3250</v>
      </c>
      <c r="J23" s="3">
        <v>14.0</v>
      </c>
      <c r="K23" s="6">
        <f>F23/248</f>
        <v>262.096774193548</v>
      </c>
      <c r="L23" s="4">
        <f>K23*J23</f>
        <v>3669.35483870967</v>
      </c>
      <c r="M23" s="4">
        <f>(F23+H23)*15/100</f>
        <v>10725</v>
      </c>
      <c r="N23" s="8">
        <v>2.0</v>
      </c>
      <c r="O23" s="11">
        <f>(F23/31)*N23</f>
        <v>4193.54838709677</v>
      </c>
      <c r="P23" s="4">
        <f>(F23+G23+H23+I23+L23+M23)-O23</f>
        <v>110950.806451612</v>
      </c>
      <c r="Q23" s="13">
        <f>(F23+H23)*12/100</f>
        <v>8580</v>
      </c>
      <c r="R23" s="13">
        <v>500.0</v>
      </c>
      <c r="S23" s="18">
        <f>P23-Q23-R23</f>
        <v>101870.806451612</v>
      </c>
    </row>
    <row r="24" spans="1:19" ht="19.499702" customHeight="1" x14ac:dyDescent="0.15">
      <c r="A24" s="2">
        <v>122416.0</v>
      </c>
      <c r="B24" s="2" t="s">
        <v>71</v>
      </c>
      <c r="C24" s="12" t="s">
        <v>72</v>
      </c>
      <c r="D24" s="12" t="s">
        <v>57</v>
      </c>
      <c r="E24" s="12">
        <v>1224140016</v>
      </c>
      <c r="F24" s="6">
        <v>56000.0</v>
      </c>
      <c r="G24" s="6">
        <f>F24*40/100</f>
        <v>22400</v>
      </c>
      <c r="H24" s="6">
        <f>F24*10/100</f>
        <v>5600</v>
      </c>
      <c r="I24" s="6">
        <f>F24*5/100</f>
        <v>2800</v>
      </c>
      <c r="J24" s="3">
        <v>7.0</v>
      </c>
      <c r="K24" s="6">
        <f>F24/248</f>
        <v>225.806451612903</v>
      </c>
      <c r="L24" s="4">
        <f>K24*J24</f>
        <v>1580.64516129032</v>
      </c>
      <c r="M24" s="4">
        <f>(F24+H24)*15/100</f>
        <v>9240</v>
      </c>
      <c r="N24" s="8">
        <v>2.0</v>
      </c>
      <c r="O24" s="11">
        <f>(F24/31)*N24</f>
        <v>3612.90322580645</v>
      </c>
      <c r="P24" s="4">
        <f>(F24+G24+H24+I24+L24+M24)-O24</f>
        <v>94007.7419354838</v>
      </c>
      <c r="Q24" s="13">
        <f>(F24+H24)*12/100</f>
        <v>7392</v>
      </c>
      <c r="R24" s="13">
        <v>500.0</v>
      </c>
      <c r="S24" s="18">
        <f>P24-Q24-R24</f>
        <v>86115.7419354838</v>
      </c>
    </row>
    <row r="25" spans="1:19" ht="18.75" customHeight="1" x14ac:dyDescent="0.15">
      <c r="A25" s="2">
        <v>122417.0</v>
      </c>
      <c r="B25" s="2" t="s">
        <v>73</v>
      </c>
      <c r="C25" s="12" t="s">
        <v>74</v>
      </c>
      <c r="D25" s="12" t="s">
        <v>57</v>
      </c>
      <c r="E25" s="12">
        <v>1.224140017E9</v>
      </c>
      <c r="F25" s="6">
        <v>56000.0</v>
      </c>
      <c r="G25" s="6">
        <f>F25*40/100</f>
        <v>22400</v>
      </c>
      <c r="H25" s="6">
        <f>F25*10/100</f>
        <v>5600</v>
      </c>
      <c r="I25" s="6">
        <f>F25*5/100</f>
        <v>2800</v>
      </c>
      <c r="J25" s="3">
        <v>8.0</v>
      </c>
      <c r="K25" s="6">
        <f>F25/248</f>
        <v>225.806451612903</v>
      </c>
      <c r="L25" s="4">
        <f>K25*J25</f>
        <v>1806.45161290322</v>
      </c>
      <c r="M25" s="4">
        <f>(F25+H25)*15/100</f>
        <v>9240</v>
      </c>
      <c r="N25" s="8">
        <v>5.0</v>
      </c>
      <c r="O25" s="11">
        <f>(F25/31)*N25</f>
        <v>9032.25806451612</v>
      </c>
      <c r="P25" s="4">
        <f>(F25+G25+H25+I25+L25+M25)-O25</f>
        <v>88814.193548387</v>
      </c>
      <c r="Q25" s="13">
        <f>(F25+H25)*12/100</f>
        <v>7392</v>
      </c>
      <c r="R25" s="13">
        <v>500.0</v>
      </c>
      <c r="S25" s="18">
        <f>P25-Q25-R25</f>
        <v>80922.193548387</v>
      </c>
    </row>
    <row r="26" spans="1:19" ht="18.75" customHeight="1" x14ac:dyDescent="0.15">
      <c r="A26" s="2">
        <v>122418.0</v>
      </c>
      <c r="B26" s="12" t="s">
        <v>75</v>
      </c>
      <c r="C26" s="12" t="s">
        <v>76</v>
      </c>
      <c r="D26" s="12" t="s">
        <v>57</v>
      </c>
      <c r="E26" s="12">
        <v>1.224140018E9</v>
      </c>
      <c r="F26" s="6">
        <v>245000.0</v>
      </c>
      <c r="G26" s="6">
        <f>F26*40/100</f>
        <v>98000</v>
      </c>
      <c r="H26" s="6">
        <f>F26*10/100</f>
        <v>24500</v>
      </c>
      <c r="I26" s="6">
        <f>F26*5/100</f>
        <v>12250</v>
      </c>
      <c r="J26" s="3">
        <v>9.0</v>
      </c>
      <c r="K26" s="6">
        <f>F26/248</f>
        <v>987.903225806451</v>
      </c>
      <c r="L26" s="4">
        <f>K26*J26</f>
        <v>8891.12903225806</v>
      </c>
      <c r="M26" s="4">
        <f>(F26+H26)*15/100</f>
        <v>40425</v>
      </c>
      <c r="N26" s="8">
        <v>5.0</v>
      </c>
      <c r="O26" s="11">
        <f>(F26/31)*N26</f>
        <v>39516.129032258</v>
      </c>
      <c r="P26" s="4">
        <f>(F26+G26+H26+I26+L26+M26)-O26</f>
        <v>389550</v>
      </c>
      <c r="Q26" s="13">
        <f>(F26+H26)*12/100</f>
        <v>32340</v>
      </c>
      <c r="R26" s="13">
        <v>500.0</v>
      </c>
      <c r="S26" s="18">
        <f>P26-Q26-R26</f>
        <v>356710</v>
      </c>
    </row>
    <row r="27" spans="1:19" ht="18.75" customHeight="1" x14ac:dyDescent="0.15">
      <c r="A27" s="2">
        <v>122419.0</v>
      </c>
      <c r="B27" s="12" t="s">
        <v>101</v>
      </c>
      <c r="C27" s="12" t="s">
        <v>102</v>
      </c>
      <c r="D27" s="12" t="s">
        <v>58</v>
      </c>
      <c r="E27" s="12">
        <v>1.224140019E9</v>
      </c>
      <c r="F27" s="6">
        <v>30000.0</v>
      </c>
      <c r="G27" s="6">
        <f>F27*40/100</f>
        <v>12000</v>
      </c>
      <c r="H27" s="6">
        <f>F27*10/100</f>
        <v>3000</v>
      </c>
      <c r="I27" s="6">
        <f>F27*5/100</f>
        <v>1500</v>
      </c>
      <c r="J27" s="3">
        <v>10.0</v>
      </c>
      <c r="K27" s="6">
        <f>F27/248</f>
        <v>120.967741935483</v>
      </c>
      <c r="L27" s="4">
        <f>K27*J27</f>
        <v>1209.67741935483</v>
      </c>
      <c r="M27" s="4">
        <f>(F27+H27)*15/100</f>
        <v>4950</v>
      </c>
      <c r="N27" s="8">
        <v>5.0</v>
      </c>
      <c r="O27" s="11">
        <f>(F27/31)*N27</f>
        <v>4838.70967741935</v>
      </c>
      <c r="P27" s="4">
        <f>(F27+G27+H27+I27+L27+M27)-O27</f>
        <v>47820.9677419354</v>
      </c>
      <c r="Q27" s="13">
        <f>(F27+H27)*12/100</f>
        <v>3960</v>
      </c>
      <c r="R27" s="13">
        <v>500.0</v>
      </c>
      <c r="S27" s="18">
        <f>P27-Q27-R27</f>
        <v>43360.9677419354</v>
      </c>
    </row>
    <row r="28" spans="1:19" ht="18.75" customHeight="1" x14ac:dyDescent="0.15">
      <c r="A28" s="2">
        <v>122420.0</v>
      </c>
      <c r="B28" s="12" t="s">
        <v>103</v>
      </c>
      <c r="C28" s="12" t="s">
        <v>104</v>
      </c>
      <c r="D28" s="12" t="s">
        <v>58</v>
      </c>
      <c r="E28" s="12">
        <v>1.22414002E9</v>
      </c>
      <c r="F28" s="6">
        <v>40000.0</v>
      </c>
      <c r="G28" s="6">
        <f>F28*40/100</f>
        <v>16000</v>
      </c>
      <c r="H28" s="6">
        <f>F28*10/100</f>
        <v>4000</v>
      </c>
      <c r="I28" s="6">
        <f>F28*5/100</f>
        <v>2000</v>
      </c>
      <c r="J28" s="3">
        <v>11.0</v>
      </c>
      <c r="K28" s="6">
        <f>F28/248</f>
        <v>161.290322580645</v>
      </c>
      <c r="L28" s="4">
        <f>K28*J28</f>
        <v>1774.19354838709</v>
      </c>
      <c r="M28" s="4">
        <f>(F28+H28)*15/100</f>
        <v>6600</v>
      </c>
      <c r="N28" s="8">
        <v>5.0</v>
      </c>
      <c r="O28" s="11">
        <f>(F28/31)*N28</f>
        <v>6451.6129032258</v>
      </c>
      <c r="P28" s="4">
        <f>(F28+G28+H28+I28+L28+M28)-O28</f>
        <v>63922.5806451612</v>
      </c>
      <c r="Q28" s="13">
        <f>(F28+H28)*12/100</f>
        <v>5280</v>
      </c>
      <c r="R28" s="13">
        <v>500.0</v>
      </c>
      <c r="S28" s="18">
        <f>P28-Q28-R28</f>
        <v>58142.5806451612</v>
      </c>
    </row>
    <row r="29" spans="1:19" ht="18.75" customHeight="1" x14ac:dyDescent="0.15">
      <c r="A29" s="2">
        <v>122421.0</v>
      </c>
      <c r="B29" s="12" t="s">
        <v>105</v>
      </c>
      <c r="C29" s="12" t="s">
        <v>106</v>
      </c>
      <c r="D29" s="12" t="s">
        <v>58</v>
      </c>
      <c r="E29" s="12">
        <v>1.224140021E9</v>
      </c>
      <c r="F29" s="6">
        <v>30000.0</v>
      </c>
      <c r="G29" s="6">
        <f>F29*40/100</f>
        <v>12000</v>
      </c>
      <c r="H29" s="6">
        <f>F29*10/100</f>
        <v>3000</v>
      </c>
      <c r="I29" s="6">
        <f>F29*5/100</f>
        <v>1500</v>
      </c>
      <c r="J29" s="3">
        <v>12.0</v>
      </c>
      <c r="K29" s="6">
        <f>F29/248</f>
        <v>120.967741935483</v>
      </c>
      <c r="L29" s="4">
        <f>K29*J29</f>
        <v>1451.6129032258</v>
      </c>
      <c r="M29" s="4">
        <f>(F29+H29)*15/100</f>
        <v>4950</v>
      </c>
      <c r="N29" s="8">
        <v>5.0</v>
      </c>
      <c r="O29" s="11">
        <f>(F29/31)*N29</f>
        <v>4838.70967741935</v>
      </c>
      <c r="P29" s="4">
        <f>(F29+G29+H29+I29+L29+M29)-O29</f>
        <v>48062.9032258064</v>
      </c>
      <c r="Q29" s="13">
        <f>(F29+H29)*12/100</f>
        <v>3960</v>
      </c>
      <c r="R29" s="13">
        <v>500.0</v>
      </c>
      <c r="S29" s="18">
        <f>P29-Q29-R29</f>
        <v>43602.9032258064</v>
      </c>
    </row>
    <row r="30" spans="1:19" ht="18.75" customHeight="1" x14ac:dyDescent="0.15">
      <c r="A30" s="2">
        <v>122422.0</v>
      </c>
      <c r="B30" s="12" t="s">
        <v>107</v>
      </c>
      <c r="C30" s="12" t="s">
        <v>100</v>
      </c>
      <c r="D30" s="12" t="s">
        <v>58</v>
      </c>
      <c r="E30" s="12">
        <v>1.224140022E9</v>
      </c>
      <c r="F30" s="6">
        <v>60000.0</v>
      </c>
      <c r="G30" s="6">
        <f>F30*40/100</f>
        <v>24000</v>
      </c>
      <c r="H30" s="6">
        <f>F30*10/100</f>
        <v>6000</v>
      </c>
      <c r="I30" s="6">
        <f>F30*5/100</f>
        <v>3000</v>
      </c>
      <c r="J30" s="3">
        <v>13.0</v>
      </c>
      <c r="K30" s="6">
        <f>F30/248</f>
        <v>241.935483870967</v>
      </c>
      <c r="L30" s="4">
        <f>K30*J30</f>
        <v>3145.16129032258</v>
      </c>
      <c r="M30" s="4">
        <f>(F30+H30)*15/100</f>
        <v>9900</v>
      </c>
      <c r="N30" s="8">
        <v>5.0</v>
      </c>
      <c r="O30" s="11">
        <f>(F30/31)*N30</f>
        <v>9677.41935483871</v>
      </c>
      <c r="P30" s="4">
        <f>(F30+G30+H30+I30+L30+M30)-O30</f>
        <v>96367.7419354838</v>
      </c>
      <c r="Q30" s="13">
        <f>(F30+H30)*12/100</f>
        <v>7920</v>
      </c>
      <c r="R30" s="13">
        <v>500.0</v>
      </c>
      <c r="S30" s="18">
        <f>P30-Q30-R30</f>
        <v>87947.7419354838</v>
      </c>
    </row>
    <row r="31" spans="1:19" ht="18.75" customHeight="1" x14ac:dyDescent="0.15">
      <c r="A31" s="2">
        <v>122423.0</v>
      </c>
      <c r="B31" s="12" t="s">
        <v>108</v>
      </c>
      <c r="C31" s="12" t="s">
        <v>109</v>
      </c>
      <c r="D31" s="12" t="s">
        <v>58</v>
      </c>
      <c r="E31" s="12">
        <v>1.224140023E9</v>
      </c>
      <c r="F31" s="6">
        <v>25000.0</v>
      </c>
      <c r="G31" s="6">
        <f>F31*40/100</f>
        <v>10000</v>
      </c>
      <c r="H31" s="6">
        <f>F31*10/100</f>
        <v>2500</v>
      </c>
      <c r="I31" s="6">
        <f>F31*5/100</f>
        <v>1250</v>
      </c>
      <c r="J31" s="3">
        <v>14.0</v>
      </c>
      <c r="K31" s="6">
        <f>F31/248</f>
        <v>100.806451612903</v>
      </c>
      <c r="L31" s="4">
        <f>K31*J31</f>
        <v>1411.29032258064</v>
      </c>
      <c r="M31" s="4">
        <f>(F31+H31)*15/100</f>
        <v>4125</v>
      </c>
      <c r="N31" s="8">
        <v>1.0</v>
      </c>
      <c r="O31" s="11">
        <f>(F31/31)*N31</f>
        <v>806.451612903225</v>
      </c>
      <c r="P31" s="4">
        <f>(F31+G31+H31+I31+L31+M31)-O31</f>
        <v>43479.8387096774</v>
      </c>
      <c r="Q31" s="13">
        <f>(F31+H31)*12/100</f>
        <v>3300</v>
      </c>
      <c r="R31" s="13">
        <v>500.0</v>
      </c>
      <c r="S31" s="18">
        <f>P31-Q31-R31</f>
        <v>39679.8387096774</v>
      </c>
    </row>
    <row r="32" spans="1:19" ht="18.75" customHeight="1" x14ac:dyDescent="0.15">
      <c r="A32" s="2">
        <v>122424.0</v>
      </c>
      <c r="B32" s="12" t="s">
        <v>110</v>
      </c>
      <c r="C32" s="12" t="s">
        <v>111</v>
      </c>
      <c r="D32" s="12" t="s">
        <v>58</v>
      </c>
      <c r="E32" s="12">
        <v>1.224140024E9</v>
      </c>
      <c r="F32" s="6">
        <v>40000.0</v>
      </c>
      <c r="G32" s="6">
        <f>F32*40/100</f>
        <v>16000</v>
      </c>
      <c r="H32" s="6">
        <f>F32*10/100</f>
        <v>4000</v>
      </c>
      <c r="I32" s="6">
        <f>F32*5/100</f>
        <v>2000</v>
      </c>
      <c r="J32" s="3">
        <v>15.0</v>
      </c>
      <c r="K32" s="6">
        <f>F32/248</f>
        <v>161.290322580645</v>
      </c>
      <c r="L32" s="4">
        <f>K32*J32</f>
        <v>2419.35483870967</v>
      </c>
      <c r="M32" s="4">
        <f>(F32+H32)*15/100</f>
        <v>6600</v>
      </c>
      <c r="N32" s="8">
        <v>2.0</v>
      </c>
      <c r="O32" s="11">
        <f>(F32/31)*N32</f>
        <v>2580.64516129032</v>
      </c>
      <c r="P32" s="4">
        <f>(F32+G32+H32+I32+L32+M32)-O32</f>
        <v>68438.7096774193</v>
      </c>
      <c r="Q32" s="13">
        <f>(F32+H32)*12/100</f>
        <v>5280</v>
      </c>
      <c r="R32" s="13">
        <v>500.0</v>
      </c>
      <c r="S32" s="18">
        <f>P32-Q32-R32</f>
        <v>62658.7096774193</v>
      </c>
    </row>
    <row r="33" spans="1:19" ht="18.75" customHeight="1" x14ac:dyDescent="0.15">
      <c r="A33" s="2">
        <v>122425.0</v>
      </c>
      <c r="B33" s="12" t="s">
        <v>77</v>
      </c>
      <c r="C33" s="12" t="s">
        <v>78</v>
      </c>
      <c r="D33" s="12" t="s">
        <v>57</v>
      </c>
      <c r="E33" s="12">
        <v>1.224140025E9</v>
      </c>
      <c r="F33" s="6">
        <v>150000.0</v>
      </c>
      <c r="G33" s="6">
        <f>F33*40/100</f>
        <v>60000</v>
      </c>
      <c r="H33" s="6">
        <f>F33*10/100</f>
        <v>15000</v>
      </c>
      <c r="I33" s="6">
        <f>F33*5/100</f>
        <v>7500</v>
      </c>
      <c r="J33" s="3">
        <v>16.0</v>
      </c>
      <c r="K33" s="6">
        <f>F33/248</f>
        <v>604.838709677419</v>
      </c>
      <c r="L33" s="4">
        <f>K33*J33</f>
        <v>9677.41935483871</v>
      </c>
      <c r="M33" s="4">
        <f>(F33+H33)*15/100</f>
        <v>24750</v>
      </c>
      <c r="N33" s="8">
        <v>3.0</v>
      </c>
      <c r="O33" s="11">
        <f>(F33/31)*N33</f>
        <v>14516.129032258</v>
      </c>
      <c r="P33" s="4">
        <f>(F33+G33+H33+I33+L33+M33)-O33</f>
        <v>252411.29032258</v>
      </c>
      <c r="Q33" s="13">
        <f>(F33+H33)*12/100</f>
        <v>19800</v>
      </c>
      <c r="R33" s="13">
        <v>500.0</v>
      </c>
      <c r="S33" s="18">
        <f>P33-Q33-R33</f>
        <v>232111.29032258</v>
      </c>
    </row>
    <row r="34" spans="1:19" ht="18.75" customHeight="1" x14ac:dyDescent="0.15">
      <c r="A34" s="2">
        <v>122426.0</v>
      </c>
      <c r="B34" s="12" t="s">
        <v>79</v>
      </c>
      <c r="C34" s="12" t="s">
        <v>80</v>
      </c>
      <c r="D34" s="12" t="s">
        <v>57</v>
      </c>
      <c r="E34" s="12">
        <v>1.224140026E9</v>
      </c>
      <c r="F34" s="6">
        <v>45000.0</v>
      </c>
      <c r="G34" s="6">
        <f>F34*40/100</f>
        <v>18000</v>
      </c>
      <c r="H34" s="6">
        <f>F34*10/100</f>
        <v>4500</v>
      </c>
      <c r="I34" s="6">
        <f>F34*5/100</f>
        <v>2250</v>
      </c>
      <c r="J34" s="3">
        <v>17.0</v>
      </c>
      <c r="K34" s="6">
        <f>F34/248</f>
        <v>181.451612903225</v>
      </c>
      <c r="L34" s="4">
        <f>K34*J34</f>
        <v>3084.67741935483</v>
      </c>
      <c r="M34" s="4">
        <f>(F34+H34)*15/100</f>
        <v>7425</v>
      </c>
      <c r="N34" s="8">
        <v>4.0</v>
      </c>
      <c r="O34" s="11">
        <f>(F34/31)*N34</f>
        <v>5806.45161290322</v>
      </c>
      <c r="P34" s="4">
        <f>(F34+G34+H34+I34+L34+M34)-O34</f>
        <v>74453.2258064516</v>
      </c>
      <c r="Q34" s="13">
        <f>(F34+H34)*12/100</f>
        <v>5940</v>
      </c>
      <c r="R34" s="13">
        <v>500.0</v>
      </c>
      <c r="S34" s="18">
        <f>P34-Q34-R34</f>
        <v>68013.2258064516</v>
      </c>
    </row>
    <row r="35" spans="1:19" ht="18.75" customHeight="1" x14ac:dyDescent="0.15">
      <c r="A35" s="2">
        <v>122427.0</v>
      </c>
      <c r="B35" s="12" t="s">
        <v>81</v>
      </c>
      <c r="C35" s="12" t="s">
        <v>82</v>
      </c>
      <c r="D35" s="12" t="s">
        <v>57</v>
      </c>
      <c r="E35" s="12">
        <v>1.224140027E9</v>
      </c>
      <c r="F35" s="6">
        <v>230000.0</v>
      </c>
      <c r="G35" s="6">
        <f>F35*40/100</f>
        <v>92000</v>
      </c>
      <c r="H35" s="6">
        <f>F35*10/100</f>
        <v>23000</v>
      </c>
      <c r="I35" s="6">
        <f>F35*5/100</f>
        <v>11500</v>
      </c>
      <c r="J35" s="3">
        <v>18.0</v>
      </c>
      <c r="K35" s="6">
        <f>F35/248</f>
        <v>927.419354838709</v>
      </c>
      <c r="L35" s="4">
        <f>K35*J35</f>
        <v>16693.5483870967</v>
      </c>
      <c r="M35" s="4">
        <f>(F35+H35)*15/100</f>
        <v>37950</v>
      </c>
      <c r="N35" s="8">
        <v>5.0</v>
      </c>
      <c r="O35" s="11">
        <f>(F35/31)*N35</f>
        <v>37096.7741935483</v>
      </c>
      <c r="P35" s="4">
        <f>(F35+G35+H35+I35+L35+M35)-O35</f>
        <v>374046.774193548</v>
      </c>
      <c r="Q35" s="13">
        <f>(F35+H35)*12/100</f>
        <v>30360</v>
      </c>
      <c r="R35" s="13">
        <v>500.0</v>
      </c>
      <c r="S35" s="18">
        <f>P35-Q35-R35</f>
        <v>343186.774193548</v>
      </c>
    </row>
    <row r="36" spans="1:19" ht="18.75" customHeight="1" x14ac:dyDescent="0.15">
      <c r="A36" s="2">
        <v>122428.0</v>
      </c>
      <c r="B36" s="12" t="s">
        <v>83</v>
      </c>
      <c r="C36" s="12" t="s">
        <v>84</v>
      </c>
      <c r="D36" s="12" t="s">
        <v>57</v>
      </c>
      <c r="E36" s="12">
        <v>1.224140028E9</v>
      </c>
      <c r="F36" s="6">
        <v>30000.0</v>
      </c>
      <c r="G36" s="6">
        <f>F36*40/100</f>
        <v>12000</v>
      </c>
      <c r="H36" s="6">
        <f>F36*10/100</f>
        <v>3000</v>
      </c>
      <c r="I36" s="6">
        <f>F36*5/100</f>
        <v>1500</v>
      </c>
      <c r="J36" s="3">
        <v>1.0</v>
      </c>
      <c r="K36" s="6">
        <f>F36/248</f>
        <v>120.967741935483</v>
      </c>
      <c r="L36" s="4">
        <f>K36*J36</f>
        <v>120.967741935483</v>
      </c>
      <c r="M36" s="4">
        <f>(F36+H36)*15/100</f>
        <v>4950</v>
      </c>
      <c r="N36" s="8">
        <v>6.0</v>
      </c>
      <c r="O36" s="11">
        <f>(F36/31)*N36</f>
        <v>5806.45161290322</v>
      </c>
      <c r="P36" s="4">
        <f>(F36+G36+H36+I36+L36+M36)-O36</f>
        <v>45764.5161290322</v>
      </c>
      <c r="Q36" s="13">
        <f>(F36+H36)*12/100</f>
        <v>3960</v>
      </c>
      <c r="R36" s="13">
        <v>500.0</v>
      </c>
      <c r="S36" s="18">
        <f>P36-Q36-R36</f>
        <v>41304.5161290322</v>
      </c>
    </row>
    <row r="37" spans="1:19" ht="18.75" customHeight="1" x14ac:dyDescent="0.15">
      <c r="A37" s="2">
        <v>122429.0</v>
      </c>
      <c r="B37" s="12" t="s">
        <v>85</v>
      </c>
      <c r="C37" s="12" t="s">
        <v>86</v>
      </c>
      <c r="D37" s="12" t="s">
        <v>57</v>
      </c>
      <c r="E37" s="12">
        <v>1.224140029E9</v>
      </c>
      <c r="F37" s="6">
        <v>30000.0</v>
      </c>
      <c r="G37" s="6">
        <f>F37*40/100</f>
        <v>12000</v>
      </c>
      <c r="H37" s="6">
        <f>F37*10/100</f>
        <v>3000</v>
      </c>
      <c r="I37" s="6">
        <f>F37*5/100</f>
        <v>1500</v>
      </c>
      <c r="J37" s="3">
        <v>5.0</v>
      </c>
      <c r="K37" s="6">
        <f>F37/248</f>
        <v>120.967741935483</v>
      </c>
      <c r="L37" s="4">
        <f>K37*J37</f>
        <v>604.838709677419</v>
      </c>
      <c r="M37" s="4">
        <f>(F37+H37)*15/100</f>
        <v>4950</v>
      </c>
      <c r="N37" s="8">
        <v>7.0</v>
      </c>
      <c r="O37" s="11">
        <f>(F37/31)*N37</f>
        <v>6774.19354838709</v>
      </c>
      <c r="P37" s="4">
        <f>(F37+G37+H37+I37+L37+M37)-O37</f>
        <v>45280.6451612903</v>
      </c>
      <c r="Q37" s="13">
        <f>(F37+H37)*12/100</f>
        <v>3960</v>
      </c>
      <c r="R37" s="13">
        <v>500.0</v>
      </c>
      <c r="S37" s="18">
        <f>P37-Q37-R37</f>
        <v>40820.6451612903</v>
      </c>
    </row>
    <row r="38" spans="1:19" ht="18.75" customHeight="1" x14ac:dyDescent="0.15">
      <c r="A38" s="2">
        <v>122430.0</v>
      </c>
      <c r="B38" s="12" t="s">
        <v>87</v>
      </c>
      <c r="C38" s="12" t="s">
        <v>88</v>
      </c>
      <c r="D38" s="12" t="s">
        <v>57</v>
      </c>
      <c r="E38" s="12">
        <v>1.22414003E9</v>
      </c>
      <c r="F38" s="6">
        <v>30000.0</v>
      </c>
      <c r="G38" s="6">
        <f>F38*40/100</f>
        <v>12000</v>
      </c>
      <c r="H38" s="6">
        <f>F38*10/100</f>
        <v>3000</v>
      </c>
      <c r="I38" s="6">
        <f>F38*5/100</f>
        <v>1500</v>
      </c>
      <c r="J38" s="3">
        <v>6.0</v>
      </c>
      <c r="K38" s="6">
        <f>F38/248</f>
        <v>120.967741935483</v>
      </c>
      <c r="L38" s="4">
        <f>K38*J38</f>
        <v>725.806451612903</v>
      </c>
      <c r="M38" s="4">
        <f>(F38+H38)*15/100</f>
        <v>4950</v>
      </c>
      <c r="N38" s="8">
        <v>3.0</v>
      </c>
      <c r="O38" s="11">
        <f>(F38/31)*N38</f>
        <v>2903.22580645161</v>
      </c>
      <c r="P38" s="4">
        <f>(F38+G38+H38+I38+L38+M38)-O38</f>
        <v>49272.5806451612</v>
      </c>
      <c r="Q38" s="13">
        <f>(F38+H38)*12/100</f>
        <v>3960</v>
      </c>
      <c r="R38" s="13">
        <v>500.0</v>
      </c>
      <c r="S38" s="18">
        <f>P38-Q38-R38</f>
        <v>44812.5806451612</v>
      </c>
    </row>
    <row r="39" spans="1:19" ht="18.75" customHeight="1" x14ac:dyDescent="0.15">
      <c r="A39" s="2">
        <v>122431.0</v>
      </c>
      <c r="B39" s="12" t="s">
        <v>89</v>
      </c>
      <c r="C39" s="12" t="s">
        <v>90</v>
      </c>
      <c r="D39" s="12" t="s">
        <v>57</v>
      </c>
      <c r="E39" s="12">
        <v>1.224140031E9</v>
      </c>
      <c r="F39" s="6">
        <v>30000.0</v>
      </c>
      <c r="G39" s="6">
        <f>F39*40/100</f>
        <v>12000</v>
      </c>
      <c r="H39" s="6">
        <f>F39*10/100</f>
        <v>3000</v>
      </c>
      <c r="I39" s="6">
        <f>F39*5/100</f>
        <v>1500</v>
      </c>
      <c r="J39" s="3">
        <v>7.0</v>
      </c>
      <c r="K39" s="6">
        <f>F39/248</f>
        <v>120.967741935483</v>
      </c>
      <c r="L39" s="4">
        <f>K39*J39</f>
        <v>846.774193548387</v>
      </c>
      <c r="M39" s="4">
        <f>(F39+H39)*15/100</f>
        <v>4950</v>
      </c>
      <c r="N39" s="8">
        <v>3.0</v>
      </c>
      <c r="O39" s="11">
        <f>(F39/31)*N39</f>
        <v>2903.22580645161</v>
      </c>
      <c r="P39" s="4">
        <f>(F39+G39+H39+I39+L39+M39)-O39</f>
        <v>49393.5483870967</v>
      </c>
      <c r="Q39" s="13">
        <f>(F39+H39)*12/100</f>
        <v>3960</v>
      </c>
      <c r="R39" s="13">
        <v>500.0</v>
      </c>
      <c r="S39" s="18">
        <f>P39-Q39-R39</f>
        <v>44933.5483870967</v>
      </c>
    </row>
    <row r="40" spans="1:19" ht="18.75" customHeight="1" x14ac:dyDescent="0.15">
      <c r="A40" s="2">
        <v>122432.0</v>
      </c>
      <c r="B40" s="12" t="s">
        <v>91</v>
      </c>
      <c r="C40" s="12" t="s">
        <v>92</v>
      </c>
      <c r="D40" s="12" t="s">
        <v>57</v>
      </c>
      <c r="E40" s="12">
        <v>1.224140032E9</v>
      </c>
      <c r="F40" s="6">
        <v>30000.0</v>
      </c>
      <c r="G40" s="6">
        <f>F40*40/100</f>
        <v>12000</v>
      </c>
      <c r="H40" s="6">
        <f>F40*10/100</f>
        <v>3000</v>
      </c>
      <c r="I40" s="6">
        <f>F40*5/100</f>
        <v>1500</v>
      </c>
      <c r="J40" s="3">
        <v>8.0</v>
      </c>
      <c r="K40" s="6">
        <f>F40/248</f>
        <v>120.967741935483</v>
      </c>
      <c r="L40" s="4">
        <f>K40*J40</f>
        <v>967.74193548387</v>
      </c>
      <c r="M40" s="4">
        <f>(F40+H40)*15/100</f>
        <v>4950</v>
      </c>
      <c r="N40" s="8">
        <v>3.0</v>
      </c>
      <c r="O40" s="11">
        <f>(F40/31)*N40</f>
        <v>2903.22580645161</v>
      </c>
      <c r="P40" s="4">
        <f>(F40+G40+H40+I40+L40+M40)-O40</f>
        <v>49514.5161290322</v>
      </c>
      <c r="Q40" s="13">
        <f>(F40+H40)*12/100</f>
        <v>3960</v>
      </c>
      <c r="R40" s="13">
        <v>500.0</v>
      </c>
      <c r="S40" s="18">
        <f>P40-Q40-R40</f>
        <v>45054.5161290322</v>
      </c>
    </row>
    <row r="41" spans="1:19" ht="18.75" customHeight="1" x14ac:dyDescent="0.15">
      <c r="A41" s="2">
        <v>122433.0</v>
      </c>
      <c r="B41" s="12" t="s">
        <v>50</v>
      </c>
      <c r="C41" s="12" t="s">
        <v>51</v>
      </c>
      <c r="D41" s="12" t="s">
        <v>21</v>
      </c>
      <c r="E41" s="12">
        <v>1.224140033E9</v>
      </c>
      <c r="F41" s="6">
        <v>30000.0</v>
      </c>
      <c r="G41" s="6">
        <f>F41*40/100</f>
        <v>12000</v>
      </c>
      <c r="H41" s="6">
        <f>F41*10/100</f>
        <v>3000</v>
      </c>
      <c r="I41" s="6">
        <f>F41*5/100</f>
        <v>1500</v>
      </c>
      <c r="J41" s="3">
        <v>9.0</v>
      </c>
      <c r="K41" s="6">
        <f>F41/248</f>
        <v>120.967741935483</v>
      </c>
      <c r="L41" s="4">
        <f>K41*J41</f>
        <v>1088.70967741935</v>
      </c>
      <c r="M41" s="4">
        <f>(F41+H41)*15/100</f>
        <v>4950</v>
      </c>
      <c r="N41" s="8">
        <v>3.0</v>
      </c>
      <c r="O41" s="11">
        <f>(F41/31)*N41</f>
        <v>2903.22580645161</v>
      </c>
      <c r="P41" s="4">
        <f>(F41+G41+H41+I41+L41+M41)-O41</f>
        <v>49635.4838709677</v>
      </c>
      <c r="Q41" s="13">
        <f>(F41+H41)*12/100</f>
        <v>3960</v>
      </c>
      <c r="R41" s="13">
        <v>500.0</v>
      </c>
      <c r="S41" s="18">
        <f>P41-Q41-R41</f>
        <v>45175.4838709677</v>
      </c>
    </row>
    <row r="42" spans="1:19" ht="18.75" customHeight="1" x14ac:dyDescent="0.15">
      <c r="A42" s="2">
        <v>122434.0</v>
      </c>
      <c r="B42" s="12" t="s">
        <v>48</v>
      </c>
      <c r="C42" s="12" t="s">
        <v>49</v>
      </c>
      <c r="D42" s="12" t="s">
        <v>21</v>
      </c>
      <c r="E42" s="12">
        <v>1.224140034E9</v>
      </c>
      <c r="F42" s="6">
        <v>65000.0</v>
      </c>
      <c r="G42" s="6">
        <f>F42*40/100</f>
        <v>26000</v>
      </c>
      <c r="H42" s="6">
        <f>F42*10/100</f>
        <v>6500</v>
      </c>
      <c r="I42" s="6">
        <f>F42*5/100</f>
        <v>3250</v>
      </c>
      <c r="J42" s="3">
        <v>10.0</v>
      </c>
      <c r="K42" s="6">
        <f>F42/248</f>
        <v>262.096774193548</v>
      </c>
      <c r="L42" s="4">
        <f>K42*J42</f>
        <v>2620.96774193548</v>
      </c>
      <c r="M42" s="4">
        <f>(F42+H42)*15/100</f>
        <v>10725</v>
      </c>
      <c r="N42" s="8">
        <v>3.0</v>
      </c>
      <c r="O42" s="11">
        <f>(F42/31)*N42</f>
        <v>6290.32258064516</v>
      </c>
      <c r="P42" s="4">
        <f>(F42+G42+H42+I42+L42+M42)-O42</f>
        <v>107805.64516129</v>
      </c>
      <c r="Q42" s="13">
        <f>(F42+H42)*12/100</f>
        <v>8580</v>
      </c>
      <c r="R42" s="13">
        <v>500.0</v>
      </c>
      <c r="S42" s="18">
        <f>P42-Q42-R42</f>
        <v>98725.6451612903</v>
      </c>
    </row>
    <row r="43" spans="1:19" ht="18.75" customHeight="1" x14ac:dyDescent="0.15">
      <c r="A43" s="2">
        <v>122435.0</v>
      </c>
      <c r="B43" s="12" t="s">
        <v>93</v>
      </c>
      <c r="C43" s="12" t="s">
        <v>94</v>
      </c>
      <c r="D43" s="12" t="s">
        <v>57</v>
      </c>
      <c r="E43" s="12">
        <v>1.224140035E9</v>
      </c>
      <c r="F43" s="6">
        <v>65000.0</v>
      </c>
      <c r="G43" s="6">
        <f>F43*40/100</f>
        <v>26000</v>
      </c>
      <c r="H43" s="6">
        <f>F43*10/100</f>
        <v>6500</v>
      </c>
      <c r="I43" s="6">
        <f>F43*5/100</f>
        <v>3250</v>
      </c>
      <c r="J43" s="3">
        <v>11.0</v>
      </c>
      <c r="K43" s="6">
        <f>F43/248</f>
        <v>262.096774193548</v>
      </c>
      <c r="L43" s="4">
        <f>K43*J43</f>
        <v>2883.06451612903</v>
      </c>
      <c r="M43" s="4">
        <f>(F43+H43)*15/100</f>
        <v>10725</v>
      </c>
      <c r="N43" s="8">
        <v>3.0</v>
      </c>
      <c r="O43" s="11">
        <f>(F43/31)*N43</f>
        <v>6290.32258064516</v>
      </c>
      <c r="P43" s="4">
        <f>(F43+G43+H43+I43+L43+M43)-O43</f>
        <v>108067.741935483</v>
      </c>
      <c r="Q43" s="13">
        <f>(F43+H43)*12/100</f>
        <v>8580</v>
      </c>
      <c r="R43" s="13">
        <v>500.0</v>
      </c>
      <c r="S43" s="18">
        <f>P43-Q43-R43</f>
        <v>98987.7419354838</v>
      </c>
    </row>
    <row r="44" spans="1:19" ht="18.75" customHeight="1" x14ac:dyDescent="0.15">
      <c r="A44" s="2">
        <v>122436.0</v>
      </c>
      <c r="B44" s="12" t="s">
        <v>44</v>
      </c>
      <c r="C44" s="12" t="s">
        <v>45</v>
      </c>
      <c r="D44" s="12" t="s">
        <v>21</v>
      </c>
      <c r="E44" s="12">
        <v>1.224140036E9</v>
      </c>
      <c r="F44" s="6">
        <v>65000.0</v>
      </c>
      <c r="G44" s="6">
        <f>F44*40/100</f>
        <v>26000</v>
      </c>
      <c r="H44" s="6">
        <f>F44*10/100</f>
        <v>6500</v>
      </c>
      <c r="I44" s="6">
        <f>F44*5/100</f>
        <v>3250</v>
      </c>
      <c r="J44" s="3">
        <v>12.0</v>
      </c>
      <c r="K44" s="6">
        <f>F44/248</f>
        <v>262.096774193548</v>
      </c>
      <c r="L44" s="4">
        <f>K44*J44</f>
        <v>3145.16129032258</v>
      </c>
      <c r="M44" s="4">
        <f>(F44+H44)*15/100</f>
        <v>10725</v>
      </c>
      <c r="N44" s="8">
        <v>3.0</v>
      </c>
      <c r="O44" s="11">
        <f>(F44/31)*N44</f>
        <v>6290.32258064516</v>
      </c>
      <c r="P44" s="4">
        <f>(F44+G44+H44+I44+L44+M44)-O44</f>
        <v>108329.838709677</v>
      </c>
      <c r="Q44" s="13">
        <f>(F44+H44)*12/100</f>
        <v>8580</v>
      </c>
      <c r="R44" s="13">
        <v>500.0</v>
      </c>
      <c r="S44" s="18">
        <f>P44-Q44-R44</f>
        <v>99249.8387096774</v>
      </c>
    </row>
    <row r="45" spans="1:19" ht="18.75" customHeight="1" x14ac:dyDescent="0.15">
      <c r="A45" s="2">
        <v>122437.0</v>
      </c>
      <c r="B45" s="12" t="s">
        <v>42</v>
      </c>
      <c r="C45" s="12" t="s">
        <v>43</v>
      </c>
      <c r="D45" s="12" t="s">
        <v>21</v>
      </c>
      <c r="E45" s="12">
        <v>1.224140037E9</v>
      </c>
      <c r="F45" s="6">
        <v>65000.0</v>
      </c>
      <c r="G45" s="6">
        <f>F45*40/100</f>
        <v>26000</v>
      </c>
      <c r="H45" s="6">
        <f>F45*10/100</f>
        <v>6500</v>
      </c>
      <c r="I45" s="6">
        <f>F45*5/100</f>
        <v>3250</v>
      </c>
      <c r="J45" s="3">
        <v>2.0</v>
      </c>
      <c r="K45" s="6">
        <f>F45/248</f>
        <v>262.096774193548</v>
      </c>
      <c r="L45" s="4">
        <f>K45*J45</f>
        <v>524.193548387096</v>
      </c>
      <c r="M45" s="4">
        <f>(F45+H45)*15/100</f>
        <v>10725</v>
      </c>
      <c r="N45" s="8">
        <v>2.0</v>
      </c>
      <c r="O45" s="11">
        <f>(F45/31)*N45</f>
        <v>4193.54838709677</v>
      </c>
      <c r="P45" s="4">
        <f>(F45+G45+H45+I45+L45+M45)-O45</f>
        <v>107805.64516129</v>
      </c>
      <c r="Q45" s="13">
        <f>(F45+H45)*12/100</f>
        <v>8580</v>
      </c>
      <c r="R45" s="13">
        <v>500.0</v>
      </c>
      <c r="S45" s="18">
        <f>P45-Q45-R45</f>
        <v>98725.6451612903</v>
      </c>
    </row>
    <row r="46" spans="1:19" ht="18.75" customHeight="1" x14ac:dyDescent="0.15">
      <c r="A46" s="2">
        <v>122438.0</v>
      </c>
      <c r="B46" s="12" t="s">
        <v>40</v>
      </c>
      <c r="C46" s="12" t="s">
        <v>41</v>
      </c>
      <c r="D46" s="12" t="s">
        <v>21</v>
      </c>
      <c r="E46" s="12">
        <v>1.224140038E9</v>
      </c>
      <c r="F46" s="6">
        <v>65000.0</v>
      </c>
      <c r="G46" s="6">
        <f>F46*40/100</f>
        <v>26000</v>
      </c>
      <c r="H46" s="6">
        <f>F46*10/100</f>
        <v>6500</v>
      </c>
      <c r="I46" s="6">
        <f>F46*5/100</f>
        <v>3250</v>
      </c>
      <c r="J46" s="3">
        <v>3.0</v>
      </c>
      <c r="K46" s="6">
        <f>F46/248</f>
        <v>262.096774193548</v>
      </c>
      <c r="L46" s="4">
        <f>K46*J46</f>
        <v>786.290322580645</v>
      </c>
      <c r="M46" s="4">
        <f>(F46+H46)*15/100</f>
        <v>10725</v>
      </c>
      <c r="N46" s="8">
        <v>2.0</v>
      </c>
      <c r="O46" s="11">
        <f>(F46/31)*N46</f>
        <v>4193.54838709677</v>
      </c>
      <c r="P46" s="4">
        <f>(F46+G46+H46+I46+L46+M46)-O46</f>
        <v>108067.741935483</v>
      </c>
      <c r="Q46" s="13">
        <f>(F46+H46)*12/100</f>
        <v>8580</v>
      </c>
      <c r="R46" s="13">
        <v>500.0</v>
      </c>
      <c r="S46" s="18">
        <f>P46-Q46-R46</f>
        <v>98987.7419354838</v>
      </c>
    </row>
    <row r="47" spans="1:19" ht="18.75" customHeight="1" x14ac:dyDescent="0.15">
      <c r="A47" s="2">
        <v>122439.0</v>
      </c>
      <c r="B47" s="12" t="s">
        <v>38</v>
      </c>
      <c r="C47" s="12" t="s">
        <v>39</v>
      </c>
      <c r="D47" s="12" t="s">
        <v>21</v>
      </c>
      <c r="E47" s="12">
        <v>1.224140039E9</v>
      </c>
      <c r="F47" s="6">
        <v>65000.0</v>
      </c>
      <c r="G47" s="6">
        <f>F47*40/100</f>
        <v>26000</v>
      </c>
      <c r="H47" s="6">
        <f>F47*10/100</f>
        <v>6500</v>
      </c>
      <c r="I47" s="6">
        <f>F47*5/100</f>
        <v>3250</v>
      </c>
      <c r="J47" s="3">
        <v>3.0</v>
      </c>
      <c r="K47" s="6">
        <f>F47/248</f>
        <v>262.096774193548</v>
      </c>
      <c r="L47" s="4">
        <f>K47*J47</f>
        <v>786.290322580645</v>
      </c>
      <c r="M47" s="4">
        <f>(F47+H47)*15/100</f>
        <v>10725</v>
      </c>
      <c r="N47" s="8">
        <v>2.0</v>
      </c>
      <c r="O47" s="11">
        <f>(F47/31)*N47</f>
        <v>4193.54838709677</v>
      </c>
      <c r="P47" s="4">
        <f>(F47+G47+H47+I47+L47+M47)-O47</f>
        <v>108067.741935483</v>
      </c>
      <c r="Q47" s="13">
        <f>(F47+H47)*12/100</f>
        <v>8580</v>
      </c>
      <c r="R47" s="13">
        <v>500.0</v>
      </c>
      <c r="S47" s="18">
        <f>P47-Q47-R47</f>
        <v>98987.7419354838</v>
      </c>
    </row>
    <row r="48" spans="1:19" ht="18.75" customHeight="1" x14ac:dyDescent="0.15">
      <c r="A48" s="2">
        <v>122440.0</v>
      </c>
      <c r="B48" s="12" t="s">
        <v>36</v>
      </c>
      <c r="C48" s="12" t="s">
        <v>37</v>
      </c>
      <c r="D48" s="12" t="s">
        <v>21</v>
      </c>
      <c r="E48" s="12">
        <v>1.22414004E9</v>
      </c>
      <c r="F48" s="6">
        <v>120000.0</v>
      </c>
      <c r="G48" s="6">
        <f>F48*40/100</f>
        <v>48000</v>
      </c>
      <c r="H48" s="6">
        <f>F48*10/100</f>
        <v>12000</v>
      </c>
      <c r="I48" s="6">
        <f>F48*5/100</f>
        <v>6000</v>
      </c>
      <c r="J48" s="3">
        <v>3.0</v>
      </c>
      <c r="K48" s="6">
        <f>F48/248</f>
        <v>483.870967741935</v>
      </c>
      <c r="L48" s="4">
        <f>K48*J48</f>
        <v>1451.6129032258</v>
      </c>
      <c r="M48" s="4">
        <f>(F48+H48)*15/100</f>
        <v>19800</v>
      </c>
      <c r="N48" s="8">
        <v>2.0</v>
      </c>
      <c r="O48" s="11">
        <f>(F48/31)*N48</f>
        <v>7741.93548387096</v>
      </c>
      <c r="P48" s="4">
        <f>(F48+G48+H48+I48+L48+M48)-O48</f>
        <v>199509.677419354</v>
      </c>
      <c r="Q48" s="13">
        <f>(F48+H48)*12/100</f>
        <v>15840</v>
      </c>
      <c r="R48" s="13">
        <v>500.0</v>
      </c>
      <c r="S48" s="18">
        <f>P48-Q48-R48</f>
        <v>183169.677419354</v>
      </c>
    </row>
    <row r="49" spans="1:19" ht="18.75" customHeight="1" x14ac:dyDescent="0.15">
      <c r="A49" s="2">
        <v>122441.0</v>
      </c>
      <c r="B49" s="12" t="s">
        <v>24</v>
      </c>
      <c r="C49" s="12" t="s">
        <v>112</v>
      </c>
      <c r="D49" s="12" t="s">
        <v>58</v>
      </c>
      <c r="E49" s="12">
        <v>1.224140041E9</v>
      </c>
      <c r="F49" s="6">
        <v>35000.0</v>
      </c>
      <c r="G49" s="6">
        <f>F49*40/100</f>
        <v>14000</v>
      </c>
      <c r="H49" s="6">
        <f>F49*10/100</f>
        <v>3500</v>
      </c>
      <c r="I49" s="6">
        <f>F49*5/100</f>
        <v>1750</v>
      </c>
      <c r="J49" s="3">
        <v>3.0</v>
      </c>
      <c r="K49" s="6">
        <f>F49/248</f>
        <v>141.129032258064</v>
      </c>
      <c r="L49" s="4">
        <f>K49*J49</f>
        <v>423.387096774193</v>
      </c>
      <c r="M49" s="4">
        <f>(F49+H49)*15/100</f>
        <v>5775</v>
      </c>
      <c r="N49" s="8">
        <v>2.0</v>
      </c>
      <c r="O49" s="11">
        <f>(F49/31)*N49</f>
        <v>2258.06451612903</v>
      </c>
      <c r="P49" s="4">
        <f>(F49+G49+H49+I49+L49+M49)-O49</f>
        <v>58190.3225806451</v>
      </c>
      <c r="Q49" s="13">
        <f>(F49+H49)*12/100</f>
        <v>4620</v>
      </c>
      <c r="R49" s="13">
        <v>500.0</v>
      </c>
      <c r="S49" s="18">
        <f>P49-Q49-R49</f>
        <v>53070.3225806451</v>
      </c>
    </row>
    <row r="50" spans="1:19" ht="18.75" customHeight="1" x14ac:dyDescent="0.15">
      <c r="A50" s="2">
        <v>122442.0</v>
      </c>
      <c r="B50" s="12" t="s">
        <v>26</v>
      </c>
      <c r="C50" s="12" t="s">
        <v>27</v>
      </c>
      <c r="D50" s="12" t="s">
        <v>21</v>
      </c>
      <c r="E50" s="12">
        <v>1.224140042E9</v>
      </c>
      <c r="F50" s="6">
        <v>56000.0</v>
      </c>
      <c r="G50" s="6">
        <f>F50*40/100</f>
        <v>22400</v>
      </c>
      <c r="H50" s="6">
        <f>F50*10/100</f>
        <v>5600</v>
      </c>
      <c r="I50" s="6">
        <f>F50*5/100</f>
        <v>2800</v>
      </c>
      <c r="J50" s="3">
        <v>3.0</v>
      </c>
      <c r="K50" s="6">
        <f>F50/248</f>
        <v>225.806451612903</v>
      </c>
      <c r="L50" s="4">
        <f>K50*J50</f>
        <v>677.419354838709</v>
      </c>
      <c r="M50" s="4">
        <f>(F50+H50)*15/100</f>
        <v>9240</v>
      </c>
      <c r="N50" s="8">
        <v>2.0</v>
      </c>
      <c r="O50" s="11">
        <f>(F50/31)*N50</f>
        <v>3612.90322580645</v>
      </c>
      <c r="P50" s="4">
        <f>(F50+G50+H50+I50+L50+M50)-O50</f>
        <v>93104.5161290322</v>
      </c>
      <c r="Q50" s="13">
        <f>(F50+H50)*12/100</f>
        <v>7392</v>
      </c>
      <c r="R50" s="13">
        <v>500.0</v>
      </c>
      <c r="S50" s="18">
        <f>P50-Q50-R50</f>
        <v>85212.5161290322</v>
      </c>
    </row>
    <row r="51" spans="1:19" ht="18.75" customHeight="1" x14ac:dyDescent="0.15">
      <c r="A51" s="2">
        <v>122443.0</v>
      </c>
      <c r="B51" s="12" t="s">
        <v>24</v>
      </c>
      <c r="C51" s="12" t="s">
        <v>25</v>
      </c>
      <c r="D51" s="12" t="s">
        <v>21</v>
      </c>
      <c r="E51" s="12">
        <v>1.224140043E9</v>
      </c>
      <c r="F51" s="6">
        <v>78000.0</v>
      </c>
      <c r="G51" s="6">
        <f>F51*40/100</f>
        <v>31200</v>
      </c>
      <c r="H51" s="6">
        <f>F51*10/100</f>
        <v>7800</v>
      </c>
      <c r="I51" s="6">
        <f>F51*5/100</f>
        <v>3900</v>
      </c>
      <c r="J51" s="3">
        <v>3.0</v>
      </c>
      <c r="K51" s="6">
        <f>F51/248</f>
        <v>314.516129032258</v>
      </c>
      <c r="L51" s="4">
        <f>K51*J51</f>
        <v>943.548387096774</v>
      </c>
      <c r="M51" s="4">
        <f>(F51+H51)*15/100</f>
        <v>12870</v>
      </c>
      <c r="N51" s="8">
        <v>2.0</v>
      </c>
      <c r="O51" s="11">
        <f>(F51/31)*N51</f>
        <v>5032.25806451612</v>
      </c>
      <c r="P51" s="4">
        <f>(F51+G51+H51+I51+L51+M51)-O51</f>
        <v>129681.29032258</v>
      </c>
      <c r="Q51" s="13">
        <f>(F51+H51)*12/100</f>
        <v>10296</v>
      </c>
      <c r="R51" s="13">
        <v>500.0</v>
      </c>
      <c r="S51" s="18">
        <f>P51-Q51-R51</f>
        <v>118885.29032258</v>
      </c>
    </row>
    <row r="52" spans="1:19" ht="18.75" customHeight="1" x14ac:dyDescent="0.15">
      <c r="A52" s="2">
        <v>122444.0</v>
      </c>
      <c r="B52" s="12" t="s">
        <v>22</v>
      </c>
      <c r="C52" s="12" t="s">
        <v>23</v>
      </c>
      <c r="D52" s="12" t="s">
        <v>21</v>
      </c>
      <c r="E52" s="12">
        <v>1.224140044E9</v>
      </c>
      <c r="F52" s="6">
        <v>34000.0</v>
      </c>
      <c r="G52" s="6">
        <f>F52*40/100</f>
        <v>13600</v>
      </c>
      <c r="H52" s="6">
        <f>F52*10/100</f>
        <v>3400</v>
      </c>
      <c r="I52" s="6">
        <f>F52*5/100</f>
        <v>1700</v>
      </c>
      <c r="J52" s="3">
        <v>3.0</v>
      </c>
      <c r="K52" s="6">
        <f>F52/248</f>
        <v>137.096774193548</v>
      </c>
      <c r="L52" s="4">
        <f>K52*J52</f>
        <v>411.290322580645</v>
      </c>
      <c r="M52" s="4">
        <f>(F52+H52)*15/100</f>
        <v>5610</v>
      </c>
      <c r="N52" s="8">
        <v>3.0</v>
      </c>
      <c r="O52" s="11">
        <f>(F52/31)*N52</f>
        <v>3290.32258064516</v>
      </c>
      <c r="P52" s="4">
        <f>(F52+G52+H52+I52+L52+M52)-O52</f>
        <v>55430.9677419354</v>
      </c>
      <c r="Q52" s="13">
        <f>(F52+H52)*12/100</f>
        <v>4488</v>
      </c>
      <c r="R52" s="13">
        <v>500.0</v>
      </c>
      <c r="S52" s="18">
        <f>P52-Q52-R52</f>
        <v>50442.9677419354</v>
      </c>
    </row>
    <row r="53" spans="1:19" ht="18.75" customHeight="1" x14ac:dyDescent="0.15">
      <c r="A53" s="2">
        <v>122445.0</v>
      </c>
      <c r="B53" s="12" t="s">
        <v>113</v>
      </c>
      <c r="C53" s="12" t="s">
        <v>114</v>
      </c>
      <c r="D53" s="12" t="s">
        <v>58</v>
      </c>
      <c r="E53" s="12">
        <v>1.224140045E9</v>
      </c>
      <c r="F53" s="6">
        <v>125000.0</v>
      </c>
      <c r="G53" s="6">
        <f>F53*40/100</f>
        <v>50000</v>
      </c>
      <c r="H53" s="6">
        <f>F53*10/100</f>
        <v>12500</v>
      </c>
      <c r="I53" s="6">
        <f>F53*5/100</f>
        <v>6250</v>
      </c>
      <c r="J53" s="3">
        <v>4.0</v>
      </c>
      <c r="K53" s="6">
        <f>F53/248</f>
        <v>504.032258064516</v>
      </c>
      <c r="L53" s="4">
        <f>K53*J53</f>
        <v>2016.12903225806</v>
      </c>
      <c r="M53" s="4">
        <f>(F53+H53)*15/100</f>
        <v>20625</v>
      </c>
      <c r="N53" s="8">
        <v>4.0</v>
      </c>
      <c r="O53" s="11">
        <f>(F53/31)*N53</f>
        <v>16129.0322580645</v>
      </c>
      <c r="P53" s="4">
        <f>(F53+G53+H53+I53+L53+M53)-O53</f>
        <v>200262.096774193</v>
      </c>
      <c r="Q53" s="13">
        <f>(F53+H53)*12/100</f>
        <v>16500</v>
      </c>
      <c r="R53" s="13">
        <v>500.0</v>
      </c>
      <c r="S53" s="18">
        <f>P53-Q53-R53</f>
        <v>183262.096774193</v>
      </c>
    </row>
    <row r="54" spans="1:19" ht="18.75" customHeight="1" x14ac:dyDescent="0.15">
      <c r="A54" s="2">
        <v>122446.0</v>
      </c>
      <c r="B54" s="12" t="s">
        <v>115</v>
      </c>
      <c r="C54" s="12" t="s">
        <v>116</v>
      </c>
      <c r="D54" s="12" t="s">
        <v>58</v>
      </c>
      <c r="E54" s="12">
        <v>1.224140046E9</v>
      </c>
      <c r="F54" s="6">
        <v>230000.0</v>
      </c>
      <c r="G54" s="6">
        <f>F54*40/100</f>
        <v>92000</v>
      </c>
      <c r="H54" s="6">
        <f>F54*10/100</f>
        <v>23000</v>
      </c>
      <c r="I54" s="6">
        <f>F54*5/100</f>
        <v>11500</v>
      </c>
      <c r="J54" s="3">
        <v>4.0</v>
      </c>
      <c r="K54" s="6">
        <f>F54/248</f>
        <v>927.419354838709</v>
      </c>
      <c r="L54" s="4">
        <f>K54*J54</f>
        <v>3709.67741935483</v>
      </c>
      <c r="M54" s="4">
        <f>(F54+H54)*15/100</f>
        <v>37950</v>
      </c>
      <c r="N54" s="8">
        <v>5.0</v>
      </c>
      <c r="O54" s="11">
        <f>(F54/31)*N54</f>
        <v>37096.7741935483</v>
      </c>
      <c r="P54" s="4">
        <f>(F54+G54+H54+I54+L54+M54)-O54</f>
        <v>361062.903225806</v>
      </c>
      <c r="Q54" s="13">
        <f>(F54+H54)*12/100</f>
        <v>30360</v>
      </c>
      <c r="R54" s="13">
        <v>500.0</v>
      </c>
      <c r="S54" s="18">
        <f>P54-Q54-R54</f>
        <v>330202.903225806</v>
      </c>
    </row>
    <row r="55" spans="1:19" ht="18.75" customHeight="1" x14ac:dyDescent="0.15">
      <c r="A55" s="2">
        <v>122447.0</v>
      </c>
      <c r="B55" s="12" t="s">
        <v>117</v>
      </c>
      <c r="C55" s="12" t="s">
        <v>118</v>
      </c>
      <c r="D55" s="12" t="s">
        <v>58</v>
      </c>
      <c r="E55" s="12">
        <v>1.224140047E9</v>
      </c>
      <c r="F55" s="6">
        <v>56000.0</v>
      </c>
      <c r="G55" s="6">
        <f>F55*40/100</f>
        <v>22400</v>
      </c>
      <c r="H55" s="6">
        <f>F55*10/100</f>
        <v>5600</v>
      </c>
      <c r="I55" s="6">
        <f>F55*5/100</f>
        <v>2800</v>
      </c>
      <c r="J55" s="3">
        <v>4.0</v>
      </c>
      <c r="K55" s="6">
        <f>F55/248</f>
        <v>225.806451612903</v>
      </c>
      <c r="L55" s="4">
        <f>K55*J55</f>
        <v>903.225806451612</v>
      </c>
      <c r="M55" s="4">
        <f>(F55+H55)*15/100</f>
        <v>9240</v>
      </c>
      <c r="N55" s="8">
        <v>6.0</v>
      </c>
      <c r="O55" s="11">
        <f>(F55/31)*N55</f>
        <v>10838.7096774193</v>
      </c>
      <c r="P55" s="4">
        <f>(F55+G55+H55+I55+L55+M55)-O55</f>
        <v>86104.5161290322</v>
      </c>
      <c r="Q55" s="13">
        <f>(F55+H55)*12/100</f>
        <v>7392</v>
      </c>
      <c r="R55" s="13">
        <v>500.0</v>
      </c>
      <c r="S55" s="18">
        <f>P55-Q55-R55</f>
        <v>78212.5161290322</v>
      </c>
    </row>
    <row r="56" spans="1:19" ht="18.75" customHeight="1" x14ac:dyDescent="0.15">
      <c r="A56" s="2">
        <v>122448.0</v>
      </c>
      <c r="B56" s="12" t="s">
        <v>119</v>
      </c>
      <c r="C56" s="12" t="s">
        <v>120</v>
      </c>
      <c r="D56" s="12" t="s">
        <v>58</v>
      </c>
      <c r="E56" s="12">
        <v>1.224140048E9</v>
      </c>
      <c r="F56" s="6">
        <v>80000.0</v>
      </c>
      <c r="G56" s="6">
        <f>F56*40/100</f>
        <v>32000</v>
      </c>
      <c r="H56" s="6">
        <f>F56*10/100</f>
        <v>8000</v>
      </c>
      <c r="I56" s="6">
        <f>F56*5/100</f>
        <v>4000</v>
      </c>
      <c r="J56" s="3">
        <v>4.0</v>
      </c>
      <c r="K56" s="6">
        <f>F56/248</f>
        <v>322.58064516129</v>
      </c>
      <c r="L56" s="4">
        <f>K56*J56</f>
        <v>1290.32258064516</v>
      </c>
      <c r="M56" s="4">
        <f>(F56+H56)*15/100</f>
        <v>13200</v>
      </c>
      <c r="N56" s="8">
        <v>3.0</v>
      </c>
      <c r="O56" s="11">
        <f>(F56/31)*N56</f>
        <v>7741.93548387096</v>
      </c>
      <c r="P56" s="4">
        <f>(F56+G56+H56+I56+L56+M56)-O56</f>
        <v>130748.387096774</v>
      </c>
      <c r="Q56" s="13">
        <f>(F56+H56)*12/100</f>
        <v>10560</v>
      </c>
      <c r="R56" s="13">
        <v>500.0</v>
      </c>
      <c r="S56" s="18">
        <f>P56-Q56-R56</f>
        <v>119688.387096774</v>
      </c>
    </row>
    <row r="57" spans="1:19" ht="18.75" customHeight="1" x14ac:dyDescent="0.15">
      <c r="A57" s="2">
        <v>122449.0</v>
      </c>
      <c r="B57" s="12" t="s">
        <v>121</v>
      </c>
      <c r="C57" s="12" t="s">
        <v>122</v>
      </c>
      <c r="D57" s="12" t="s">
        <v>58</v>
      </c>
      <c r="E57" s="12">
        <v>1.224140049E9</v>
      </c>
      <c r="F57" s="6">
        <v>56000.0</v>
      </c>
      <c r="G57" s="6">
        <f>F57*40/100</f>
        <v>22400</v>
      </c>
      <c r="H57" s="6">
        <f>F57*10/100</f>
        <v>5600</v>
      </c>
      <c r="I57" s="6">
        <f>F57*5/100</f>
        <v>2800</v>
      </c>
      <c r="J57" s="3">
        <v>4.0</v>
      </c>
      <c r="K57" s="6">
        <f>F57/248</f>
        <v>225.806451612903</v>
      </c>
      <c r="L57" s="4">
        <f>K57*J57</f>
        <v>903.225806451612</v>
      </c>
      <c r="M57" s="4">
        <f>(F57+H57)*15/100</f>
        <v>9240</v>
      </c>
      <c r="N57" s="8">
        <v>2.0</v>
      </c>
      <c r="O57" s="11">
        <f>(F57/31)*N57</f>
        <v>3612.90322580645</v>
      </c>
      <c r="P57" s="4">
        <f>(F57+G57+H57+I57+L57+M57)-O57</f>
        <v>93330.3225806451</v>
      </c>
      <c r="Q57" s="13">
        <f>(F57+H57)*12/100</f>
        <v>7392</v>
      </c>
      <c r="R57" s="13">
        <v>500.0</v>
      </c>
      <c r="S57" s="18">
        <f>P57-Q57-R57</f>
        <v>85438.3225806451</v>
      </c>
    </row>
    <row r="58" spans="1:19" ht="18.75" customHeight="1" x14ac:dyDescent="0.15">
      <c r="A58" s="2">
        <v>122450.0</v>
      </c>
      <c r="B58" s="12" t="s">
        <v>123</v>
      </c>
      <c r="C58" s="12" t="s">
        <v>124</v>
      </c>
      <c r="D58" s="12" t="s">
        <v>58</v>
      </c>
      <c r="E58" s="12">
        <v>1.22414005E9</v>
      </c>
      <c r="F58" s="6">
        <v>45000.0</v>
      </c>
      <c r="G58" s="6">
        <f>F58*40/100</f>
        <v>18000</v>
      </c>
      <c r="H58" s="6">
        <f>F58*10/100</f>
        <v>4500</v>
      </c>
      <c r="I58" s="6">
        <f>F58*5/100</f>
        <v>2250</v>
      </c>
      <c r="J58" s="3">
        <v>4.0</v>
      </c>
      <c r="K58" s="6">
        <f>F58/248</f>
        <v>181.451612903225</v>
      </c>
      <c r="L58" s="4">
        <f>K58*J58</f>
        <v>725.806451612903</v>
      </c>
      <c r="M58" s="4">
        <f>(F58+H58)*15/100</f>
        <v>7425</v>
      </c>
      <c r="N58" s="8">
        <v>9.0</v>
      </c>
      <c r="O58" s="11">
        <f>(F58/31)*N58</f>
        <v>13064.5161290322</v>
      </c>
      <c r="P58" s="4">
        <f>(F58+G58+H58+I58+L58+M58)-O58</f>
        <v>64836.2903225806</v>
      </c>
      <c r="Q58" s="13">
        <f>(F58+H58)*12/100</f>
        <v>5940</v>
      </c>
      <c r="R58" s="13">
        <v>500.0</v>
      </c>
      <c r="S58" s="18">
        <f>P58-Q58-R58</f>
        <v>58396.2903225806</v>
      </c>
    </row>
    <row r="59" spans="1:19" ht="18.75" customHeight="1" x14ac:dyDescent="0.15">
      <c r="A59" s="2">
        <v>122451.0</v>
      </c>
      <c r="B59" s="12" t="s">
        <v>125</v>
      </c>
      <c r="C59" s="12" t="s">
        <v>126</v>
      </c>
      <c r="D59" s="12" t="s">
        <v>58</v>
      </c>
      <c r="E59" s="12">
        <v>1.224140051E9</v>
      </c>
      <c r="F59" s="6">
        <v>34000.0</v>
      </c>
      <c r="G59" s="6">
        <f>F59*40/100</f>
        <v>13600</v>
      </c>
      <c r="H59" s="6">
        <f>F59*10/100</f>
        <v>3400</v>
      </c>
      <c r="I59" s="6">
        <f>F59*5/100</f>
        <v>1700</v>
      </c>
      <c r="J59" s="3">
        <v>4.0</v>
      </c>
      <c r="K59" s="6">
        <f>F59/248</f>
        <v>137.096774193548</v>
      </c>
      <c r="L59" s="4">
        <f>K59*J59</f>
        <v>548.387096774193</v>
      </c>
      <c r="M59" s="4">
        <f>(F59+H59)*15/100</f>
        <v>5610</v>
      </c>
      <c r="N59" s="8">
        <v>1.0</v>
      </c>
      <c r="O59" s="11">
        <f>(F59/31)*N59</f>
        <v>1096.77419354838</v>
      </c>
      <c r="P59" s="4">
        <f>(F59+G59+H59+I59+L59+M59)-O59</f>
        <v>57761.6129032258</v>
      </c>
      <c r="Q59" s="13">
        <f>(F59+H59)*12/100</f>
        <v>4488</v>
      </c>
      <c r="R59" s="13">
        <v>500.0</v>
      </c>
      <c r="S59" s="18">
        <f>P59-Q59-R59</f>
        <v>52773.6129032258</v>
      </c>
    </row>
    <row r="60" spans="1:19" ht="21.0" customHeight="1" x14ac:dyDescent="0.15">
      <c r="B60" s="5"/>
      <c r="P60" s="15"/>
      <c r="Q60" s="7"/>
      <c r="R60" s="16"/>
      <c r="S60" s="7"/>
    </row>
    <row r="61" spans="1:19" ht="21.0" customHeight="1" x14ac:dyDescent="0.15">
      <c r="B61" s="5"/>
      <c r="P61" s="1"/>
      <c r="Q61" s="7"/>
      <c r="R61" s="16"/>
      <c r="S61" s="7"/>
    </row>
    <row r="62" spans="16:19" x14ac:dyDescent="0.15">
      <c r="P62" s="1"/>
      <c r="Q62" s="7"/>
      <c r="R62" s="7"/>
      <c r="S62" s="7"/>
    </row>
    <row r="63" spans="16:19" x14ac:dyDescent="0.15">
      <c r="P63" s="1"/>
      <c r="Q63" s="7"/>
      <c r="R63" s="7"/>
      <c r="S63" s="7"/>
    </row>
    <row r="64" spans="16:19" x14ac:dyDescent="0.15">
      <c r="P64" s="1"/>
      <c r="Q64" s="7"/>
      <c r="R64" s="7"/>
      <c r="S64" s="7"/>
    </row>
    <row r="65" spans="16:19" x14ac:dyDescent="0.15">
      <c r="P65" s="1"/>
      <c r="Q65" s="7"/>
      <c r="R65" s="7"/>
      <c r="S65" s="7"/>
    </row>
    <row r="66" spans="16:19" x14ac:dyDescent="0.15">
      <c r="P66" s="1"/>
      <c r="Q66" s="7"/>
      <c r="R66" s="7"/>
      <c r="S66" s="7"/>
    </row>
    <row r="67" spans="16:19" x14ac:dyDescent="0.15">
      <c r="P67" s="1"/>
      <c r="Q67" s="7"/>
      <c r="R67" s="7"/>
      <c r="S67" s="7"/>
    </row>
    <row r="68" spans="16:19" x14ac:dyDescent="0.15">
      <c r="P68" s="1"/>
      <c r="Q68" s="7"/>
      <c r="R68" s="7"/>
      <c r="S68" s="7"/>
    </row>
    <row r="69" spans="16:19" x14ac:dyDescent="0.15">
      <c r="P69" s="1"/>
      <c r="Q69" s="7"/>
      <c r="R69" s="7"/>
      <c r="S69" s="7"/>
    </row>
    <row r="70" spans="16:19" x14ac:dyDescent="0.15">
      <c r="P70" s="1"/>
      <c r="Q70" s="7"/>
      <c r="R70" s="7"/>
      <c r="S70" s="7"/>
    </row>
    <row r="71" spans="16:19" x14ac:dyDescent="0.15">
      <c r="P71" s="1"/>
      <c r="Q71" s="7"/>
      <c r="R71" s="7"/>
      <c r="S71" s="7"/>
    </row>
    <row r="72" spans="16:19" x14ac:dyDescent="0.15">
      <c r="P72" s="1"/>
      <c r="Q72" s="7"/>
      <c r="R72" s="7"/>
      <c r="S72" s="7"/>
    </row>
    <row r="73" spans="16:19" x14ac:dyDescent="0.15">
      <c r="P73" s="1"/>
      <c r="Q73" s="7"/>
      <c r="R73" s="7"/>
      <c r="S73" s="7"/>
    </row>
    <row r="74" spans="16:19" x14ac:dyDescent="0.15">
      <c r="P74" s="1"/>
      <c r="Q74" s="7"/>
      <c r="R74" s="7"/>
      <c r="S74" s="7"/>
    </row>
    <row r="75" spans="16:19" x14ac:dyDescent="0.15">
      <c r="P75" s="1"/>
      <c r="Q75" s="7"/>
      <c r="R75" s="7"/>
      <c r="S75" s="7"/>
    </row>
    <row r="76" spans="16:19" x14ac:dyDescent="0.15">
      <c r="P76" s="1"/>
      <c r="Q76" s="7"/>
      <c r="R76" s="7"/>
      <c r="S76" s="7"/>
    </row>
    <row r="77" spans="16:19" x14ac:dyDescent="0.15">
      <c r="P77" s="1"/>
      <c r="Q77" s="7"/>
      <c r="R77" s="7"/>
      <c r="S77" s="7"/>
    </row>
    <row r="78" spans="16:19" x14ac:dyDescent="0.15">
      <c r="P78" s="1"/>
      <c r="Q78" s="7"/>
      <c r="R78" s="7"/>
      <c r="S78" s="7"/>
    </row>
    <row r="79" spans="16:19" x14ac:dyDescent="0.15">
      <c r="P79" s="1"/>
      <c r="Q79" s="7"/>
      <c r="R79" s="7"/>
      <c r="S79" s="7"/>
    </row>
    <row r="80" spans="16:19" x14ac:dyDescent="0.15">
      <c r="P80" s="1"/>
      <c r="Q80" s="7"/>
      <c r="R80" s="7"/>
      <c r="S80" s="7"/>
    </row>
    <row r="81" spans="16:19" x14ac:dyDescent="0.15">
      <c r="P81" s="1"/>
      <c r="Q81" s="7"/>
      <c r="R81" s="7"/>
      <c r="S81" s="17"/>
    </row>
    <row r="82" spans="16:19" x14ac:dyDescent="0.15">
      <c r="P82" s="1"/>
      <c r="Q82" s="7"/>
      <c r="R82" s="7"/>
      <c r="S82" s="17"/>
    </row>
    <row r="83" spans="16:19" x14ac:dyDescent="0.15">
      <c r="P83" s="1"/>
      <c r="Q83" s="7"/>
      <c r="R83" s="7"/>
      <c r="S83" s="17"/>
    </row>
    <row r="84" spans="16:19" x14ac:dyDescent="0.15">
      <c r="P84" s="1"/>
      <c r="Q84" s="7"/>
      <c r="R84" s="7"/>
      <c r="S84" s="17"/>
    </row>
    <row r="85" spans="16:19" x14ac:dyDescent="0.15">
      <c r="P85" s="1"/>
      <c r="Q85" s="7"/>
      <c r="R85" s="7"/>
      <c r="S85" s="17"/>
    </row>
    <row r="86" spans="16:19" x14ac:dyDescent="0.15">
      <c r="P86" s="1"/>
      <c r="Q86" s="7"/>
      <c r="R86" s="7"/>
      <c r="S86" s="17"/>
    </row>
    <row r="87" spans="16:19" x14ac:dyDescent="0.15">
      <c r="P87" s="1"/>
      <c r="Q87" s="7"/>
      <c r="R87" s="7"/>
      <c r="S87" s="17"/>
    </row>
    <row r="88" spans="16:19" x14ac:dyDescent="0.15">
      <c r="P88" s="1"/>
      <c r="Q88" s="7"/>
      <c r="R88" s="7"/>
      <c r="S88" s="17"/>
    </row>
    <row r="89" spans="16:19" x14ac:dyDescent="0.15">
      <c r="P89" s="1"/>
      <c r="Q89" s="7"/>
      <c r="R89" s="7"/>
      <c r="S89" s="17"/>
    </row>
    <row r="90" spans="16:19" x14ac:dyDescent="0.15">
      <c r="P90" s="1"/>
      <c r="Q90" s="7"/>
      <c r="R90" s="7"/>
      <c r="S90" s="17"/>
    </row>
    <row r="91" spans="16:19" x14ac:dyDescent="0.15">
      <c r="P91" s="1"/>
      <c r="Q91" s="7"/>
      <c r="R91" s="7"/>
      <c r="S91" s="17"/>
    </row>
    <row r="92" spans="16:19" x14ac:dyDescent="0.15">
      <c r="P92" s="1"/>
      <c r="Q92" s="7"/>
      <c r="R92" s="7"/>
      <c r="S92" s="17"/>
    </row>
    <row r="93" spans="16:19" x14ac:dyDescent="0.15">
      <c r="P93" s="1"/>
      <c r="Q93" s="7"/>
      <c r="R93" s="7"/>
      <c r="S93" s="17"/>
    </row>
    <row r="94" spans="16:19" x14ac:dyDescent="0.15">
      <c r="P94" s="1"/>
      <c r="Q94" s="7"/>
      <c r="R94" s="7"/>
      <c r="S94" s="17"/>
    </row>
    <row r="95" spans="16:19" x14ac:dyDescent="0.15">
      <c r="P95" s="1"/>
      <c r="Q95" s="7"/>
      <c r="R95" s="7"/>
      <c r="S95" s="17"/>
    </row>
    <row r="96" spans="16:19" x14ac:dyDescent="0.15">
      <c r="P96" s="1"/>
      <c r="Q96" s="7"/>
      <c r="R96" s="7"/>
      <c r="S96" s="17"/>
    </row>
    <row r="97" spans="16:19" x14ac:dyDescent="0.15">
      <c r="P97" s="1"/>
      <c r="Q97" s="7"/>
      <c r="R97" s="7"/>
      <c r="S97" s="17"/>
    </row>
    <row r="98" spans="19:19" x14ac:dyDescent="0.15">
      <c r="S98" s="17"/>
    </row>
    <row r="99" spans="19:19" x14ac:dyDescent="0.15">
      <c r="S99" s="17"/>
    </row>
    <row r="100" spans="19:19" x14ac:dyDescent="0.15">
      <c r="S100" s="17"/>
    </row>
    <row r="101" spans="19:19" x14ac:dyDescent="0.15">
      <c r="S101" s="17"/>
    </row>
    <row r="102" spans="19:19" x14ac:dyDescent="0.15">
      <c r="S102" s="17"/>
    </row>
    <row r="103" spans="19:19" x14ac:dyDescent="0.15">
      <c r="S103" s="17"/>
    </row>
    <row r="104" spans="19:19" x14ac:dyDescent="0.15">
      <c r="S104" s="17"/>
    </row>
    <row r="105" spans="19:19" x14ac:dyDescent="0.15">
      <c r="S105" s="17"/>
    </row>
    <row r="106" spans="19:19" x14ac:dyDescent="0.15">
      <c r="S106" s="17"/>
    </row>
    <row r="107" spans="19:19" x14ac:dyDescent="0.15">
      <c r="S107" s="17"/>
    </row>
    <row r="108" spans="19:19" x14ac:dyDescent="0.15">
      <c r="S108" s="17"/>
    </row>
    <row r="109" spans="19:19" x14ac:dyDescent="0.15">
      <c r="S109" s="17"/>
    </row>
    <row r="110" spans="19:19" x14ac:dyDescent="0.15">
      <c r="S110" s="17"/>
    </row>
    <row r="111" spans="19:19" x14ac:dyDescent="0.15">
      <c r="S111" s="17"/>
    </row>
    <row r="112" spans="19:19" x14ac:dyDescent="0.15">
      <c r="S112" s="17"/>
    </row>
    <row r="113" spans="19:19" x14ac:dyDescent="0.15">
      <c r="S113" s="17"/>
    </row>
    <row r="114" spans="19:19" x14ac:dyDescent="0.15">
      <c r="S114" s="17"/>
    </row>
    <row r="115" spans="19:19" x14ac:dyDescent="0.15">
      <c r="S115" s="17"/>
    </row>
    <row r="116" spans="19:19" x14ac:dyDescent="0.15">
      <c r="S116" s="17"/>
    </row>
    <row r="117" spans="19:19" x14ac:dyDescent="0.15">
      <c r="S117" s="17"/>
    </row>
    <row r="118" spans="19:19" x14ac:dyDescent="0.15">
      <c r="S118" s="17"/>
    </row>
    <row r="119" spans="19:19" x14ac:dyDescent="0.15">
      <c r="S119" s="17"/>
    </row>
    <row r="120" spans="19:19" x14ac:dyDescent="0.15">
      <c r="S120" s="17"/>
    </row>
    <row r="121" spans="19:19" x14ac:dyDescent="0.15">
      <c r="S121" s="17"/>
    </row>
    <row r="122" spans="19:19" x14ac:dyDescent="0.15">
      <c r="S122" s="17"/>
    </row>
    <row r="123" spans="19:19" x14ac:dyDescent="0.15">
      <c r="S123" s="17"/>
    </row>
    <row r="124" spans="19:19" x14ac:dyDescent="0.15">
      <c r="S124" s="17"/>
    </row>
    <row r="125" spans="19:19" x14ac:dyDescent="0.15">
      <c r="S125" s="17"/>
    </row>
    <row r="126" spans="19:19" x14ac:dyDescent="0.15">
      <c r="S126" s="17"/>
    </row>
    <row r="127" spans="19:19" x14ac:dyDescent="0.15">
      <c r="S127" s="17"/>
    </row>
    <row r="128" spans="19:19" x14ac:dyDescent="0.15">
      <c r="S128" s="17"/>
    </row>
    <row r="129" spans="19:19" x14ac:dyDescent="0.15">
      <c r="S129" s="17"/>
    </row>
    <row r="130" spans="19:19" x14ac:dyDescent="0.15">
      <c r="S130" s="17"/>
    </row>
    <row r="131" spans="19:19" x14ac:dyDescent="0.15">
      <c r="S131" s="17"/>
    </row>
    <row r="132" spans="19:19" x14ac:dyDescent="0.15">
      <c r="S132" s="17"/>
    </row>
    <row r="133" spans="19:19" x14ac:dyDescent="0.15">
      <c r="S133" s="17"/>
    </row>
    <row r="134" spans="19:19" x14ac:dyDescent="0.15">
      <c r="S134" s="17"/>
    </row>
    <row r="135" spans="19:19" x14ac:dyDescent="0.15">
      <c r="S135" s="17"/>
    </row>
    <row r="136" spans="19:19" x14ac:dyDescent="0.15">
      <c r="S136" s="17"/>
    </row>
    <row r="137" spans="19:19" x14ac:dyDescent="0.15">
      <c r="S137" s="17"/>
    </row>
    <row r="138" spans="19:19" x14ac:dyDescent="0.15">
      <c r="S138" s="17"/>
    </row>
    <row r="139" spans="19:19" x14ac:dyDescent="0.15">
      <c r="S139" s="17"/>
    </row>
    <row r="140" spans="19:19" x14ac:dyDescent="0.15">
      <c r="S140" s="17"/>
    </row>
    <row r="141" spans="19:19" x14ac:dyDescent="0.15">
      <c r="S141" s="17"/>
    </row>
    <row r="142" spans="19:19" x14ac:dyDescent="0.15">
      <c r="S142" s="17"/>
    </row>
    <row r="143" spans="19:19" x14ac:dyDescent="0.15">
      <c r="S143" s="17"/>
    </row>
    <row r="144" spans="19:19" x14ac:dyDescent="0.15">
      <c r="S144" s="17"/>
    </row>
    <row r="145" spans="19:19" x14ac:dyDescent="0.15">
      <c r="S145" s="17"/>
    </row>
    <row r="146" spans="19:19" x14ac:dyDescent="0.15">
      <c r="S146" s="17"/>
    </row>
    <row r="147" spans="19:19" x14ac:dyDescent="0.15">
      <c r="S147" s="17"/>
    </row>
    <row r="148" spans="19:19" x14ac:dyDescent="0.15">
      <c r="S148" s="17"/>
    </row>
    <row r="149" spans="19:19" x14ac:dyDescent="0.15">
      <c r="S149" s="17"/>
    </row>
    <row r="150" spans="19:19" x14ac:dyDescent="0.15">
      <c r="S150" s="17"/>
    </row>
    <row r="151" spans="19:19" x14ac:dyDescent="0.15">
      <c r="S151" s="17"/>
    </row>
    <row r="152" spans="19:19" x14ac:dyDescent="0.15">
      <c r="S152" s="17"/>
    </row>
    <row r="153" spans="19:19" x14ac:dyDescent="0.15">
      <c r="S153" s="17"/>
    </row>
    <row r="154" spans="19:19" x14ac:dyDescent="0.15">
      <c r="S154" s="17"/>
    </row>
    <row r="155" spans="19:19" x14ac:dyDescent="0.15">
      <c r="S155" s="17"/>
    </row>
    <row r="156" spans="19:19" x14ac:dyDescent="0.15">
      <c r="S156" s="17"/>
    </row>
    <row r="157" spans="19:19" x14ac:dyDescent="0.15">
      <c r="S157" s="17"/>
    </row>
    <row r="158" spans="19:19" x14ac:dyDescent="0.15">
      <c r="S158" s="17"/>
    </row>
    <row r="159" spans="19:19" x14ac:dyDescent="0.15">
      <c r="S159" s="17"/>
    </row>
    <row r="160" spans="19:19" x14ac:dyDescent="0.15">
      <c r="S160" s="17"/>
    </row>
    <row r="161" spans="19:19" x14ac:dyDescent="0.15">
      <c r="S161" s="17"/>
    </row>
    <row r="162" spans="19:19" x14ac:dyDescent="0.15">
      <c r="S162" s="17"/>
    </row>
    <row r="163" spans="19:19" x14ac:dyDescent="0.15">
      <c r="S163" s="17"/>
    </row>
    <row r="164" spans="19:19" x14ac:dyDescent="0.15">
      <c r="S164" s="17"/>
    </row>
    <row r="165" spans="19:19" x14ac:dyDescent="0.15">
      <c r="S165" s="17"/>
    </row>
    <row r="166" spans="19:19" x14ac:dyDescent="0.15">
      <c r="S166" s="17"/>
    </row>
    <row r="167" spans="19:19" x14ac:dyDescent="0.15">
      <c r="S167" s="17"/>
    </row>
    <row r="168" spans="19:19" x14ac:dyDescent="0.15">
      <c r="S168" s="17"/>
    </row>
    <row r="169" spans="19:19" x14ac:dyDescent="0.15">
      <c r="S169" s="17"/>
    </row>
    <row r="170" spans="19:19" x14ac:dyDescent="0.15">
      <c r="S170" s="17"/>
    </row>
    <row r="171" spans="19:19" x14ac:dyDescent="0.15">
      <c r="S171" s="17"/>
    </row>
    <row r="172" spans="19:19" x14ac:dyDescent="0.15">
      <c r="S172" s="17"/>
    </row>
    <row r="173" spans="19:19" x14ac:dyDescent="0.15">
      <c r="S173" s="17"/>
    </row>
    <row r="174" spans="19:19" x14ac:dyDescent="0.15">
      <c r="S174" s="17"/>
    </row>
    <row r="175" spans="19:19" x14ac:dyDescent="0.15">
      <c r="S175" s="17"/>
    </row>
    <row r="176" spans="19:19" x14ac:dyDescent="0.15">
      <c r="S176" s="17"/>
    </row>
    <row r="177" spans="19:19" x14ac:dyDescent="0.15">
      <c r="S177" s="17"/>
    </row>
    <row r="178" spans="19:19" x14ac:dyDescent="0.15">
      <c r="S178" s="17"/>
    </row>
    <row r="179" spans="19:19" x14ac:dyDescent="0.15">
      <c r="S179" s="17"/>
    </row>
    <row r="180" spans="19:19" x14ac:dyDescent="0.15">
      <c r="S180" s="17"/>
    </row>
    <row r="181" spans="19:19" x14ac:dyDescent="0.15">
      <c r="S181" s="17"/>
    </row>
    <row r="182" spans="19:19" x14ac:dyDescent="0.15">
      <c r="S182" s="17"/>
    </row>
    <row r="183" spans="19:19" x14ac:dyDescent="0.15">
      <c r="S183" s="17"/>
    </row>
    <row r="184" spans="19:19" x14ac:dyDescent="0.15">
      <c r="S184" s="17"/>
    </row>
    <row r="185" spans="19:19" x14ac:dyDescent="0.15">
      <c r="S185" s="17"/>
    </row>
  </sheetData>
  <mergeCells count="4">
    <mergeCell ref="E7:S7"/>
    <mergeCell ref="A1:T3"/>
    <mergeCell ref="A5:S6"/>
    <mergeCell ref="E4:S4"/>
  </mergeCells>
  <phoneticPr fontId="0" type="noConversion"/>
  <pageMargins left="0.6999125161508876" right="0.6999125161508876" top="0.7499062639521802" bottom="0.7499062639521802" header="0.2999625102741512" footer="0.2999625102741512"/>
  <pageSetup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outlinePr showOutlineSymbols="1"/>
  </sheetPr>
  <dimension ref="A1:NM86"/>
  <sheetViews>
    <sheetView showGridLines="0" tabSelected="1" zoomScale="30" zoomScaleNormal="30" topLeftCell="J1" workbookViewId="0">
      <selection activeCell="M46" activeCellId="0" sqref="M46"/>
    </sheetView>
  </sheetViews>
  <sheetFormatPr defaultRowHeight="15.0" defaultColWidth="9.0" x14ac:dyDescent="0.15"/>
  <cols>
    <col min="1" max="1" width="31.125" customWidth="1"/>
    <col min="2" max="2" width="129.25" customWidth="1"/>
    <col min="3" max="3" width="35.5" customWidth="1"/>
    <col min="4" max="4" width="29.625" customWidth="1"/>
    <col min="5" max="5" width="38.625" customWidth="1"/>
    <col min="6" max="6" width="26.625" customWidth="1"/>
    <col min="7" max="7" width="30.125" customWidth="1"/>
    <col min="8" max="8" width="40.0" customWidth="1"/>
    <col min="9" max="9" width="41.25" customWidth="1"/>
    <col min="10" max="10" width="40.875" customWidth="1"/>
    <col min="11" max="11" width="28.375" customWidth="1"/>
    <col min="12" max="12" width="38.625" customWidth="1"/>
    <col min="13" max="369" width="47.125" customWidth="1"/>
    <col min="370" max="370" width="33.625" customWidth="1"/>
    <col min="371" max="371" width="27.0" customWidth="1"/>
    <col min="372" max="372" width="33.375" customWidth="1"/>
    <col min="373" max="373" width="27.125" customWidth="1"/>
    <col min="374" max="374" width="27.5" customWidth="1"/>
    <col min="375" max="375" width="41.125" customWidth="1"/>
    <col min="376" max="376" width="29.875" customWidth="1"/>
    <col min="377" max="377" width="38.25" customWidth="1"/>
  </cols>
  <sheetData>
    <row r="1" spans="1:13" s="1" customFormat="1" ht="15.0" customHeight="1" x14ac:dyDescent="0.15">
      <c r="A1" s="140" t="s">
        <v>127</v>
      </c>
      <c r="B1" s="140"/>
      <c r="C1" s="140"/>
      <c r="D1" s="140"/>
      <c r="E1" s="140"/>
      <c r="F1" s="140"/>
      <c r="G1" s="140"/>
      <c r="H1" s="140"/>
      <c r="I1" s="140"/>
      <c r="J1" s="140"/>
      <c r="K1" s="25"/>
      <c r="L1" s="25"/>
      <c r="M1" s="25"/>
    </row>
    <row r="2" spans="1:13" s="1" customFormat="1" ht="21.75" customHeight="1" x14ac:dyDescent="0.15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25"/>
      <c r="L2" s="25"/>
      <c r="M2" s="25"/>
    </row>
    <row r="3" spans="1:13" s="1" customFormat="1" ht="15.0" customHeight="1" x14ac:dyDescent="0.1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25"/>
      <c r="L3" s="25"/>
      <c r="M3" s="25"/>
    </row>
    <row r="4" spans="1:13" s="1" customFormat="1" ht="15.0" customHeight="1" x14ac:dyDescent="0.15">
      <c r="A4" s="146" t="s">
        <v>128</v>
      </c>
      <c r="B4" s="145"/>
      <c r="C4" s="145"/>
      <c r="D4" s="145"/>
      <c r="E4" s="145"/>
      <c r="F4" s="145"/>
      <c r="G4" s="145"/>
      <c r="H4" s="145"/>
      <c r="I4" s="145"/>
      <c r="J4" s="144"/>
      <c r="K4" s="25"/>
      <c r="L4" s="25"/>
      <c r="M4" s="25"/>
    </row>
    <row r="5" spans="1:13" s="1" customFormat="1" ht="16.5" customHeight="1" x14ac:dyDescent="0.15">
      <c r="A5" s="143"/>
      <c r="B5" s="142"/>
      <c r="C5" s="142"/>
      <c r="D5" s="142"/>
      <c r="E5" s="142"/>
      <c r="F5" s="142"/>
      <c r="G5" s="142"/>
      <c r="H5" s="142"/>
      <c r="I5" s="142"/>
      <c r="J5" s="141"/>
      <c r="K5" s="25"/>
      <c r="L5" s="25"/>
      <c r="M5" s="25"/>
    </row>
    <row r="6" spans="1:13" s="1" customFormat="1" ht="16.5" customHeight="1" x14ac:dyDescent="0.15">
      <c r="A6" s="34"/>
      <c r="B6" s="34"/>
      <c r="C6" s="34"/>
      <c r="D6" s="34"/>
      <c r="E6" s="34"/>
      <c r="F6" s="34"/>
      <c r="G6" s="34"/>
      <c r="H6" s="34"/>
      <c r="I6" s="34"/>
      <c r="J6" s="34"/>
      <c r="K6" s="25"/>
      <c r="L6" s="25"/>
      <c r="M6" s="25"/>
    </row>
    <row r="7" spans="1:13" s="24" customFormat="1" ht="17.25" customHeight="1" x14ac:dyDescent="0.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s="1" customFormat="1" ht="18.75" customHeight="1" x14ac:dyDescent="0.15">
      <c r="A8" s="138" t="s">
        <v>129</v>
      </c>
      <c r="B8" s="137"/>
      <c r="C8" s="26"/>
      <c r="D8" s="65" t="s">
        <v>130</v>
      </c>
      <c r="E8" s="66" t="s">
        <v>131</v>
      </c>
      <c r="F8" s="67" t="s">
        <v>132</v>
      </c>
      <c r="G8" s="65" t="s">
        <v>133</v>
      </c>
      <c r="H8" s="68" t="s">
        <v>134</v>
      </c>
      <c r="I8" s="68" t="s">
        <v>135</v>
      </c>
      <c r="J8" s="26"/>
      <c r="K8" s="26"/>
      <c r="L8" s="26"/>
      <c r="M8" s="26"/>
    </row>
    <row r="9" spans="1:9" ht="21.0" customHeight="1" x14ac:dyDescent="0.15">
      <c r="A9" s="45" t="s">
        <v>0</v>
      </c>
      <c r="B9" s="45" t="s">
        <v>136</v>
      </c>
      <c r="D9" s="60">
        <v>109321.0</v>
      </c>
      <c r="E9" s="61">
        <v>5.57535645E8</v>
      </c>
      <c r="F9" s="62" t="s">
        <v>137</v>
      </c>
      <c r="G9" s="60">
        <v>614625.0</v>
      </c>
      <c r="H9" s="63" t="s">
        <v>138</v>
      </c>
      <c r="I9" s="64">
        <v>51.0</v>
      </c>
    </row>
    <row r="10" spans="1:6" ht="18.75" customHeight="1" x14ac:dyDescent="0.15">
      <c r="A10" s="36" t="s">
        <v>4</v>
      </c>
      <c r="B10" s="36" t="s">
        <v>136</v>
      </c>
      <c r="E10" s="52"/>
      <c r="F10" s="53"/>
    </row>
    <row r="11" spans="1:6" ht="18.75" customHeight="1" x14ac:dyDescent="0.15">
      <c r="A11" s="46" t="s">
        <v>1</v>
      </c>
      <c r="B11" s="46" t="s">
        <v>136</v>
      </c>
      <c r="C11" s="51"/>
      <c r="E11" s="52"/>
      <c r="F11" s="53"/>
    </row>
    <row r="12" spans="5:5" x14ac:dyDescent="0.15">
      <c r="E12" s="1"/>
    </row>
    <row r="13" spans="1:12" s="1" customFormat="1" ht="21.0" customHeight="1" x14ac:dyDescent="0.15">
      <c r="A13" s="39"/>
      <c r="B13" s="42" t="s">
        <v>139</v>
      </c>
      <c r="C13" s="29"/>
      <c r="D13" s="30"/>
      <c r="E13" s="30"/>
      <c r="F13" s="30"/>
      <c r="G13" s="30"/>
      <c r="H13" s="30"/>
      <c r="I13" s="30"/>
      <c r="J13" s="30"/>
      <c r="K13" s="30"/>
      <c r="L13" s="31"/>
    </row>
    <row r="14" spans="1:16" s="27" customFormat="1" ht="18.75" customHeight="1" x14ac:dyDescent="0.15">
      <c r="A14" s="47" t="s">
        <v>3</v>
      </c>
      <c r="B14" s="49" t="s">
        <v>140</v>
      </c>
      <c r="C14" s="48" t="s">
        <v>141</v>
      </c>
      <c r="D14" s="49" t="s">
        <v>142</v>
      </c>
      <c r="E14" s="49" t="s">
        <v>143</v>
      </c>
      <c r="F14" s="49" t="s">
        <v>144</v>
      </c>
      <c r="G14" s="49" t="s">
        <v>145</v>
      </c>
      <c r="H14" s="48" t="s">
        <v>146</v>
      </c>
      <c r="I14" s="50" t="s">
        <v>147</v>
      </c>
      <c r="J14" s="49" t="s">
        <v>148</v>
      </c>
      <c r="K14" s="49" t="s">
        <v>149</v>
      </c>
      <c r="L14" s="49" t="s">
        <v>150</v>
      </c>
      <c r="M14" s="1"/>
      <c r="N14" s="1"/>
      <c r="O14" s="1"/>
      <c r="P14" s="1"/>
    </row>
    <row r="15" spans="1:12" ht="18.75" customHeight="1" x14ac:dyDescent="0.15">
      <c r="A15" s="40" t="s">
        <v>57</v>
      </c>
      <c r="B15" s="43">
        <v>2156312.6774193547</v>
      </c>
      <c r="C15" s="57">
        <v>1441000.0</v>
      </c>
      <c r="D15" s="44">
        <v>70.0</v>
      </c>
      <c r="E15" s="43">
        <v>237765.0</v>
      </c>
      <c r="F15" s="43">
        <v>190212.0</v>
      </c>
      <c r="G15" s="43">
        <v>144100.0</v>
      </c>
      <c r="H15" s="56">
        <v>187.0</v>
      </c>
      <c r="I15" s="43">
        <v>73887.09677419356</v>
      </c>
      <c r="J15" s="43">
        <v>72050.0</v>
      </c>
      <c r="K15" s="43">
        <v>576400.0</v>
      </c>
      <c r="L15" s="43">
        <v>9000.0</v>
      </c>
    </row>
    <row r="16" spans="1:12" ht="18.75" customHeight="1" x14ac:dyDescent="0.15">
      <c r="A16" s="32" t="s">
        <v>21</v>
      </c>
      <c r="B16" s="37">
        <v>1659157.8709677418</v>
      </c>
      <c r="C16" s="58">
        <v>1103000.0</v>
      </c>
      <c r="D16" s="35">
        <v>55.0</v>
      </c>
      <c r="E16" s="37">
        <v>181995.0</v>
      </c>
      <c r="F16" s="37">
        <v>145596.0</v>
      </c>
      <c r="G16" s="37">
        <v>110300.0</v>
      </c>
      <c r="H16" s="59">
        <v>142.0</v>
      </c>
      <c r="I16" s="37">
        <v>37205.645161290326</v>
      </c>
      <c r="J16" s="37">
        <v>55150.0</v>
      </c>
      <c r="K16" s="37">
        <v>441200.0</v>
      </c>
      <c r="L16" s="37">
        <v>8000.0</v>
      </c>
    </row>
    <row r="17" spans="1:12" ht="18.75" customHeight="1" x14ac:dyDescent="0.15">
      <c r="A17" s="41" t="s">
        <v>58</v>
      </c>
      <c r="B17" s="38">
        <v>1759885.9032258065</v>
      </c>
      <c r="C17" s="54">
        <v>1181000.0</v>
      </c>
      <c r="D17" s="33">
        <v>61.0</v>
      </c>
      <c r="E17" s="38">
        <v>194865.0</v>
      </c>
      <c r="F17" s="38">
        <v>155892.0</v>
      </c>
      <c r="G17" s="38">
        <v>118100.0</v>
      </c>
      <c r="H17" s="55">
        <v>157.0</v>
      </c>
      <c r="I17" s="38">
        <v>38927.419354838705</v>
      </c>
      <c r="J17" s="38">
        <v>59050.0</v>
      </c>
      <c r="K17" s="38">
        <v>472400.0</v>
      </c>
      <c r="L17" s="38">
        <v>8500.0</v>
      </c>
    </row>
    <row r="18" spans="1:12" ht="18.75" customHeight="1" x14ac:dyDescent="0.15">
      <c r="A18" s="40" t="s">
        <v>59</v>
      </c>
      <c r="B18" s="38">
        <v>5575356.451612903</v>
      </c>
      <c r="C18" s="54">
        <v>3725000.0</v>
      </c>
      <c r="D18" s="33">
        <v>186.0</v>
      </c>
      <c r="E18" s="38">
        <v>614625.0</v>
      </c>
      <c r="F18" s="38">
        <v>491700.0</v>
      </c>
      <c r="G18" s="38">
        <v>372500.0</v>
      </c>
      <c r="H18" s="55">
        <v>486.0</v>
      </c>
      <c r="I18" s="38">
        <v>150020.16129032258</v>
      </c>
      <c r="J18" s="38">
        <v>186250.0</v>
      </c>
      <c r="K18" s="38">
        <v>1490000.0</v>
      </c>
      <c r="L18" s="38">
        <v>25500.0</v>
      </c>
    </row>
    <row r="42" spans="2:2" x14ac:dyDescent="0.15">
      <c r="B42" s="1" t="s">
        <v>151</v>
      </c>
    </row>
    <row r="43" spans="2:2" x14ac:dyDescent="0.15">
      <c r="B43" s="1"/>
    </row>
    <row r="44" spans="1:1" s="1" customFormat="1" ht="15.0" customHeight="1" x14ac:dyDescent="0.15"/>
    <row r="45" spans="1:1" s="1" customFormat="1" ht="15.0" customHeight="1" x14ac:dyDescent="0.15"/>
    <row r="46" spans="1:1" s="1" customFormat="1" ht="15.0" customHeight="1" x14ac:dyDescent="0.15"/>
    <row r="47" spans="2:2" x14ac:dyDescent="0.15">
      <c r="B47" s="1"/>
    </row>
    <row r="48" spans="1:1" s="1" customFormat="1" ht="15.0" customHeight="1" x14ac:dyDescent="0.15"/>
    <row r="49" spans="1:1" s="1" customFormat="1" ht="15.0" customHeight="1" x14ac:dyDescent="0.15"/>
    <row r="50" spans="1:1" s="1" customFormat="1" ht="15.0" customHeight="1" x14ac:dyDescent="0.15"/>
    <row r="51" spans="1:1" s="1" customFormat="1" ht="15.0" customHeight="1" x14ac:dyDescent="0.15"/>
    <row r="52" spans="1:1" s="1" customFormat="1" ht="15.0" customHeight="1" x14ac:dyDescent="0.15"/>
    <row r="53" spans="1:1" s="1" customFormat="1" ht="15.0" customHeight="1" x14ac:dyDescent="0.15"/>
    <row r="54" spans="1:1" s="1" customFormat="1" ht="15.0" customHeight="1" x14ac:dyDescent="0.15"/>
    <row r="55" spans="1:1" s="1" customFormat="1" ht="15.0" customHeight="1" x14ac:dyDescent="0.15"/>
    <row r="57" spans="1:6" ht="23.249645" customHeight="1" x14ac:dyDescent="0.15">
      <c r="A57" s="136"/>
      <c r="B57" s="135"/>
      <c r="C57" s="135"/>
      <c r="D57" s="135"/>
      <c r="E57" s="135"/>
      <c r="F57" s="134"/>
    </row>
    <row r="58" spans="1:6" ht="24.0" customHeight="1" x14ac:dyDescent="0.15">
      <c r="A58" s="133"/>
      <c r="B58" s="132"/>
      <c r="C58" s="132"/>
      <c r="D58" s="132"/>
      <c r="E58" s="132"/>
      <c r="F58" s="131"/>
    </row>
    <row r="59" spans="1:6" ht="21.0" customHeight="1" x14ac:dyDescent="0.15">
      <c r="A59" s="133"/>
      <c r="B59" s="132"/>
      <c r="C59" s="132"/>
      <c r="D59" s="132"/>
      <c r="E59" s="132"/>
      <c r="F59" s="131"/>
    </row>
    <row r="60" spans="1:6" ht="23.249645" customHeight="1" x14ac:dyDescent="0.15">
      <c r="A60" s="150"/>
      <c r="B60" s="149"/>
      <c r="C60" s="149"/>
      <c r="D60" s="149"/>
      <c r="E60" s="149"/>
      <c r="F60" s="148"/>
    </row>
    <row r="61" spans="1:6" ht="23.249645" customHeight="1" x14ac:dyDescent="0.15">
      <c r="A61" s="130"/>
      <c r="B61" s="129"/>
      <c r="C61" s="129"/>
      <c r="D61" s="129"/>
      <c r="E61" s="129"/>
      <c r="F61" s="128"/>
    </row>
    <row r="82" spans="1:7" ht="26.2496" customHeight="1" x14ac:dyDescent="0.15">
      <c r="A82" s="153" t="s">
        <v>152</v>
      </c>
      <c r="B82" s="152"/>
      <c r="C82" s="152"/>
      <c r="D82" s="152"/>
      <c r="E82" s="152"/>
      <c r="F82" s="151"/>
      <c r="G82" s="71"/>
    </row>
    <row r="83" spans="1:7" ht="26.2496" customHeight="1" x14ac:dyDescent="0.15">
      <c r="A83" s="156" t="s">
        <v>153</v>
      </c>
      <c r="B83" s="155"/>
      <c r="C83" s="155"/>
      <c r="D83" s="155"/>
      <c r="E83" s="155"/>
      <c r="F83" s="154"/>
      <c r="G83" s="71"/>
    </row>
    <row r="84" spans="1:7" ht="26.2496" customHeight="1" x14ac:dyDescent="0.15">
      <c r="A84" s="156" t="s">
        <v>154</v>
      </c>
      <c r="B84" s="155"/>
      <c r="C84" s="155"/>
      <c r="D84" s="155"/>
      <c r="E84" s="155"/>
      <c r="F84" s="154"/>
      <c r="G84" s="71"/>
    </row>
    <row r="85" spans="1:7" ht="26.2496" customHeight="1" x14ac:dyDescent="0.15">
      <c r="A85" s="156" t="s">
        <v>155</v>
      </c>
      <c r="B85" s="155"/>
      <c r="C85" s="155"/>
      <c r="D85" s="155"/>
      <c r="E85" s="155"/>
      <c r="F85" s="154"/>
      <c r="G85" s="71"/>
    </row>
    <row r="86" spans="1:7" ht="26.2496" customHeight="1" x14ac:dyDescent="0.15">
      <c r="A86" s="159" t="s">
        <v>156</v>
      </c>
      <c r="B86" s="158"/>
      <c r="C86" s="158"/>
      <c r="D86" s="158"/>
      <c r="E86" s="158"/>
      <c r="F86" s="157"/>
      <c r="G86" s="71"/>
    </row>
  </sheetData>
  <mergeCells count="14">
    <mergeCell ref="A61:F61"/>
    <mergeCell ref="A59:F59"/>
    <mergeCell ref="A57:F57"/>
    <mergeCell ref="A8:B8"/>
    <mergeCell ref="A1:J2"/>
    <mergeCell ref="A4:J5"/>
    <mergeCell ref="A3:J3"/>
    <mergeCell ref="A58:F58"/>
    <mergeCell ref="A60:F60"/>
    <mergeCell ref="A82:F82"/>
    <mergeCell ref="A83:F83"/>
    <mergeCell ref="A84:F84"/>
    <mergeCell ref="A85:F85"/>
    <mergeCell ref="A86:F86"/>
  </mergeCells>
  <phoneticPr fontId="0" type="noConversion"/>
  <pageMargins left="0.6999125161508876" right="0.6999125161508876" top="0.7499062639521802" bottom="0.7499062639521802" header="0.2999625102741512" footer="0.2999625102741512"/>
  <pageSetup paperSize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S17"/>
  <sheetViews>
    <sheetView zoomScaleNormal="100" topLeftCell="A1" workbookViewId="0">
      <selection activeCell="A1" activeCellId="0" sqref="A1:S17"/>
    </sheetView>
  </sheetViews>
  <sheetFormatPr defaultRowHeight="15.0" defaultColWidth="9.0" x14ac:dyDescent="0.15"/>
  <cols>
    <col min="1" max="1" width="11.625" customWidth="1"/>
    <col min="2" max="2" width="9.0"/>
    <col min="3" max="3" width="21.375" customWidth="1"/>
    <col min="4" max="4" width="18.875" customWidth="1"/>
    <col min="5" max="5" width="25.0" customWidth="1"/>
    <col min="6" max="6" width="19.125" customWidth="1"/>
    <col min="7" max="7" width="15.375" customWidth="1"/>
    <col min="8" max="8" width="13.875" customWidth="1"/>
    <col min="9" max="9" width="24.625" customWidth="1"/>
    <col min="10" max="10" width="23.625" customWidth="1"/>
    <col min="11" max="11" width="13.625" customWidth="1"/>
    <col min="12" max="12" width="24.125" customWidth="1"/>
    <col min="13" max="13" width="18.625" customWidth="1"/>
    <col min="14" max="14" width="12.0" customWidth="1"/>
    <col min="15" max="15" width="31.75" customWidth="1"/>
    <col min="16" max="16" width="20.0" customWidth="1"/>
    <col min="17" max="17" width="13.375" customWidth="1"/>
    <col min="18" max="18" width="23.25" customWidth="1"/>
    <col min="19" max="19" width="17.5" customWidth="1"/>
  </cols>
  <sheetData>
    <row r="1" spans="1:19" x14ac:dyDescent="0.15">
      <c r="A1" t="s" s="225">
        <v>0</v>
      </c>
      <c r="B1" t="s" s="225">
        <v>1</v>
      </c>
      <c r="C1" t="s" s="225">
        <v>2</v>
      </c>
      <c r="D1" t="s" s="225">
        <v>3</v>
      </c>
      <c r="E1" t="s" s="225">
        <v>4</v>
      </c>
      <c r="F1" t="s" s="225">
        <v>5</v>
      </c>
      <c r="G1" t="s" s="225">
        <v>6</v>
      </c>
      <c r="H1" t="s" s="225">
        <v>7</v>
      </c>
      <c r="I1" t="s" s="225">
        <v>8</v>
      </c>
      <c r="J1" t="s" s="225">
        <v>9</v>
      </c>
      <c r="K1" t="s" s="225">
        <v>10</v>
      </c>
      <c r="L1" t="s" s="225">
        <v>11</v>
      </c>
      <c r="M1" t="s" s="225">
        <v>12</v>
      </c>
      <c r="N1" t="s" s="225">
        <v>13</v>
      </c>
      <c r="O1" t="s" s="225">
        <v>14</v>
      </c>
      <c r="P1" t="s" s="225">
        <v>15</v>
      </c>
      <c r="Q1" t="s" s="225">
        <v>16</v>
      </c>
      <c r="R1" t="s" s="225">
        <v>17</v>
      </c>
      <c r="S1" t="s" s="225">
        <v>18</v>
      </c>
    </row>
    <row r="2" spans="1:19" x14ac:dyDescent="0.15">
      <c r="A2" s="225">
        <v>122401.0</v>
      </c>
      <c r="B2" t="s" s="225">
        <v>19</v>
      </c>
      <c r="C2" t="s" s="225">
        <v>20</v>
      </c>
      <c r="D2" t="s" s="225">
        <v>21</v>
      </c>
      <c r="E2" s="225">
        <v>1.224140001E9</v>
      </c>
      <c r="F2" s="225">
        <v>150000.0</v>
      </c>
      <c r="G2" s="225">
        <v>60000.0</v>
      </c>
      <c r="H2" s="225">
        <v>15000.0</v>
      </c>
      <c r="I2" s="225">
        <v>7500.0</v>
      </c>
      <c r="J2" s="225">
        <v>4.0</v>
      </c>
      <c r="K2" s="225">
        <v>604.8387096774194</v>
      </c>
      <c r="L2" s="225">
        <v>2419.3548387096776</v>
      </c>
      <c r="M2" s="225">
        <v>24750.0</v>
      </c>
      <c r="N2" s="225">
        <v>3.0</v>
      </c>
      <c r="O2" s="225">
        <v>14516.129032258064</v>
      </c>
      <c r="P2" s="225">
        <v>245153.2258064516</v>
      </c>
      <c r="Q2" s="225">
        <v>19800.0</v>
      </c>
      <c r="R2" s="225">
        <v>244653.2258064516</v>
      </c>
      <c r="S2" s="225">
        <v>224853.2258064516</v>
      </c>
    </row>
    <row r="3" spans="1:19" x14ac:dyDescent="0.15">
      <c r="A3" s="225">
        <v>122444.0</v>
      </c>
      <c r="B3" t="s" s="225">
        <v>22</v>
      </c>
      <c r="C3" t="s" s="225">
        <v>23</v>
      </c>
      <c r="D3" t="s" s="225">
        <v>21</v>
      </c>
      <c r="E3" s="225">
        <v>1.224140044E9</v>
      </c>
      <c r="F3" s="225">
        <v>34000.0</v>
      </c>
      <c r="G3" s="225">
        <v>13600.0</v>
      </c>
      <c r="H3" s="225">
        <v>3400.0</v>
      </c>
      <c r="I3" s="225">
        <v>1700.0</v>
      </c>
      <c r="J3" s="225">
        <v>3.0</v>
      </c>
      <c r="K3" s="225">
        <v>137.09677419354838</v>
      </c>
      <c r="L3" s="225">
        <v>411.2903225806451</v>
      </c>
      <c r="M3" s="225">
        <v>5610.0</v>
      </c>
      <c r="N3" s="225">
        <v>3.0</v>
      </c>
      <c r="O3" s="225">
        <v>3290.322580645161</v>
      </c>
      <c r="P3" s="225">
        <v>55430.967741935485</v>
      </c>
      <c r="Q3" s="225">
        <v>4488.0</v>
      </c>
      <c r="R3" s="225">
        <v>54930.967741935485</v>
      </c>
      <c r="S3" s="225">
        <v>50442.967741935485</v>
      </c>
    </row>
    <row r="4" spans="1:19" x14ac:dyDescent="0.15">
      <c r="A4" s="225">
        <v>122443.0</v>
      </c>
      <c r="B4" t="s" s="225">
        <v>24</v>
      </c>
      <c r="C4" t="s" s="225">
        <v>25</v>
      </c>
      <c r="D4" t="s" s="225">
        <v>21</v>
      </c>
      <c r="E4" s="225">
        <v>1.224140043E9</v>
      </c>
      <c r="F4" s="225">
        <v>78000.0</v>
      </c>
      <c r="G4" s="225">
        <v>31200.0</v>
      </c>
      <c r="H4" s="225">
        <v>7800.0</v>
      </c>
      <c r="I4" s="225">
        <v>3900.0</v>
      </c>
      <c r="J4" s="225">
        <v>3.0</v>
      </c>
      <c r="K4" s="225">
        <v>314.51612903225805</v>
      </c>
      <c r="L4" s="225">
        <v>943.5483870967741</v>
      </c>
      <c r="M4" s="225">
        <v>12870.0</v>
      </c>
      <c r="N4" s="225">
        <v>2.0</v>
      </c>
      <c r="O4" s="225">
        <v>5032.258064516129</v>
      </c>
      <c r="P4" s="225">
        <v>129681.29032258067</v>
      </c>
      <c r="Q4" s="225">
        <v>10296.0</v>
      </c>
      <c r="R4" s="225">
        <v>129181.29032258067</v>
      </c>
      <c r="S4" s="225">
        <v>118885.29032258067</v>
      </c>
    </row>
    <row r="5" spans="1:19" x14ac:dyDescent="0.15">
      <c r="A5" s="225">
        <v>122442.0</v>
      </c>
      <c r="B5" t="s" s="225">
        <v>26</v>
      </c>
      <c r="C5" t="s" s="225">
        <v>27</v>
      </c>
      <c r="D5" t="s" s="225">
        <v>21</v>
      </c>
      <c r="E5" s="225">
        <v>1.224140042E9</v>
      </c>
      <c r="F5" s="225">
        <v>56000.0</v>
      </c>
      <c r="G5" s="225">
        <v>22400.0</v>
      </c>
      <c r="H5" s="225">
        <v>5600.0</v>
      </c>
      <c r="I5" s="225">
        <v>2800.0</v>
      </c>
      <c r="J5" s="225">
        <v>3.0</v>
      </c>
      <c r="K5" s="225">
        <v>225.80645161290323</v>
      </c>
      <c r="L5" s="225">
        <v>677.4193548387098</v>
      </c>
      <c r="M5" s="225">
        <v>9240.0</v>
      </c>
      <c r="N5" s="225">
        <v>2.0</v>
      </c>
      <c r="O5" s="225">
        <v>3612.9032258064517</v>
      </c>
      <c r="P5" s="225">
        <v>93104.51612903226</v>
      </c>
      <c r="Q5" s="225">
        <v>7392.0</v>
      </c>
      <c r="R5" s="225">
        <v>92604.51612903226</v>
      </c>
      <c r="S5" s="225">
        <v>85212.51612903226</v>
      </c>
    </row>
    <row r="6" spans="1:19" x14ac:dyDescent="0.15">
      <c r="A6" s="225">
        <v>122405.0</v>
      </c>
      <c r="B6" t="s" s="225">
        <v>28</v>
      </c>
      <c r="C6" t="s" s="225">
        <v>29</v>
      </c>
      <c r="D6" t="s" s="225">
        <v>21</v>
      </c>
      <c r="E6" s="225">
        <v>1.224140005E9</v>
      </c>
      <c r="F6" s="225">
        <v>66000.0</v>
      </c>
      <c r="G6" s="225">
        <v>26400.0</v>
      </c>
      <c r="H6" s="225">
        <v>6600.0</v>
      </c>
      <c r="I6" s="225">
        <v>3300.0</v>
      </c>
      <c r="J6" s="225">
        <v>12.0</v>
      </c>
      <c r="K6" s="225">
        <v>266.1290322580645</v>
      </c>
      <c r="L6" s="225">
        <v>3193.548387096774</v>
      </c>
      <c r="M6" s="225">
        <v>10890.0</v>
      </c>
      <c r="N6" s="225">
        <v>7.0</v>
      </c>
      <c r="O6" s="225">
        <v>14903.225806451614</v>
      </c>
      <c r="P6" s="225">
        <v>101480.32258064515</v>
      </c>
      <c r="Q6" s="225">
        <v>8712.0</v>
      </c>
      <c r="R6" s="225">
        <v>100980.32258064515</v>
      </c>
      <c r="S6" s="225">
        <v>92268.32258064515</v>
      </c>
    </row>
    <row r="7" spans="1:19" x14ac:dyDescent="0.15">
      <c r="A7" s="225">
        <v>122406.0</v>
      </c>
      <c r="B7" t="s" s="225">
        <v>30</v>
      </c>
      <c r="C7" t="s" s="225">
        <v>31</v>
      </c>
      <c r="D7" t="s" s="225">
        <v>21</v>
      </c>
      <c r="E7" s="225">
        <v>1.224140006E9</v>
      </c>
      <c r="F7" s="225">
        <v>44000.0</v>
      </c>
      <c r="G7" s="225">
        <v>17600.0</v>
      </c>
      <c r="H7" s="225">
        <v>4400.0</v>
      </c>
      <c r="I7" s="225">
        <v>2200.0</v>
      </c>
      <c r="J7" s="225">
        <v>9.0</v>
      </c>
      <c r="K7" s="225">
        <v>177.41935483870967</v>
      </c>
      <c r="L7" s="225">
        <v>1596.774193548387</v>
      </c>
      <c r="M7" s="225">
        <v>7260.0</v>
      </c>
      <c r="N7" s="225">
        <v>8.0</v>
      </c>
      <c r="O7" s="225">
        <v>11354.838709677419</v>
      </c>
      <c r="P7" s="225">
        <v>65701.93548387097</v>
      </c>
      <c r="Q7" s="225">
        <v>5808.0</v>
      </c>
      <c r="R7" s="225">
        <v>65201.93548387097</v>
      </c>
      <c r="S7" s="225">
        <v>59393.93548387097</v>
      </c>
    </row>
    <row r="8" spans="1:19" x14ac:dyDescent="0.15">
      <c r="A8" s="225">
        <v>122407.0</v>
      </c>
      <c r="B8" t="s" s="225">
        <v>32</v>
      </c>
      <c r="C8" t="s" s="225">
        <v>33</v>
      </c>
      <c r="D8" t="s" s="225">
        <v>21</v>
      </c>
      <c r="E8" s="225">
        <v>1.224140007E9</v>
      </c>
      <c r="F8" s="225">
        <v>65000.0</v>
      </c>
      <c r="G8" s="225">
        <v>26000.0</v>
      </c>
      <c r="H8" s="225">
        <v>6500.0</v>
      </c>
      <c r="I8" s="225">
        <v>3250.0</v>
      </c>
      <c r="J8" s="225">
        <v>32.0</v>
      </c>
      <c r="K8" s="225">
        <v>262.0967741935484</v>
      </c>
      <c r="L8" s="225">
        <v>8387.09677419355</v>
      </c>
      <c r="M8" s="225">
        <v>10725.0</v>
      </c>
      <c r="N8" s="225">
        <v>9.0</v>
      </c>
      <c r="O8" s="225">
        <v>18870.967741935485</v>
      </c>
      <c r="P8" s="225">
        <v>100991.12903225806</v>
      </c>
      <c r="Q8" s="225">
        <v>8580.0</v>
      </c>
      <c r="R8" s="225">
        <v>100491.12903225806</v>
      </c>
      <c r="S8" s="225">
        <v>91911.12903225806</v>
      </c>
    </row>
    <row r="9" spans="1:19" x14ac:dyDescent="0.15">
      <c r="A9" s="225">
        <v>122408.0</v>
      </c>
      <c r="B9" t="s" s="225">
        <v>34</v>
      </c>
      <c r="C9" t="s" s="225">
        <v>35</v>
      </c>
      <c r="D9" t="s" s="225">
        <v>21</v>
      </c>
      <c r="E9" s="225">
        <v>1.224140008E9</v>
      </c>
      <c r="F9" s="225">
        <v>65000.0</v>
      </c>
      <c r="G9" s="225">
        <v>26000.0</v>
      </c>
      <c r="H9" s="225">
        <v>6500.0</v>
      </c>
      <c r="I9" s="225">
        <v>3250.0</v>
      </c>
      <c r="J9" s="225">
        <v>21.0</v>
      </c>
      <c r="K9" s="225">
        <v>262.0967741935484</v>
      </c>
      <c r="L9" s="225">
        <v>5504.032258064517</v>
      </c>
      <c r="M9" s="225">
        <v>10725.0</v>
      </c>
      <c r="N9" s="225">
        <v>2.0</v>
      </c>
      <c r="O9" s="225">
        <v>4193.548387096775</v>
      </c>
      <c r="P9" s="225">
        <v>112785.48387096774</v>
      </c>
      <c r="Q9" s="225">
        <v>8580.0</v>
      </c>
      <c r="R9" s="225">
        <v>112285.48387096774</v>
      </c>
      <c r="S9" s="225">
        <v>103705.48387096774</v>
      </c>
    </row>
    <row r="10" spans="1:19" x14ac:dyDescent="0.15">
      <c r="A10" s="225">
        <v>122440.0</v>
      </c>
      <c r="B10" t="s" s="225">
        <v>36</v>
      </c>
      <c r="C10" t="s" s="225">
        <v>37</v>
      </c>
      <c r="D10" t="s" s="225">
        <v>21</v>
      </c>
      <c r="E10" s="225">
        <v>1.22414004E9</v>
      </c>
      <c r="F10" s="225">
        <v>120000.0</v>
      </c>
      <c r="G10" s="225">
        <v>48000.0</v>
      </c>
      <c r="H10" s="225">
        <v>12000.0</v>
      </c>
      <c r="I10" s="225">
        <v>6000.0</v>
      </c>
      <c r="J10" s="225">
        <v>3.0</v>
      </c>
      <c r="K10" s="225">
        <v>483.8709677419355</v>
      </c>
      <c r="L10" s="225">
        <v>1451.6129032258063</v>
      </c>
      <c r="M10" s="225">
        <v>19800.0</v>
      </c>
      <c r="N10" s="225">
        <v>2.0</v>
      </c>
      <c r="O10" s="225">
        <v>7741.935483870968</v>
      </c>
      <c r="P10" s="225">
        <v>199509.67741935485</v>
      </c>
      <c r="Q10" s="225">
        <v>15840.0</v>
      </c>
      <c r="R10" s="225">
        <v>199009.67741935485</v>
      </c>
      <c r="S10" s="225">
        <v>183169.67741935485</v>
      </c>
    </row>
    <row r="11" spans="1:19" x14ac:dyDescent="0.15">
      <c r="A11" s="225">
        <v>122439.0</v>
      </c>
      <c r="B11" t="s" s="225">
        <v>38</v>
      </c>
      <c r="C11" t="s" s="225">
        <v>39</v>
      </c>
      <c r="D11" t="s" s="225">
        <v>21</v>
      </c>
      <c r="E11" s="225">
        <v>1.224140039E9</v>
      </c>
      <c r="F11" s="225">
        <v>65000.0</v>
      </c>
      <c r="G11" s="225">
        <v>26000.0</v>
      </c>
      <c r="H11" s="225">
        <v>6500.0</v>
      </c>
      <c r="I11" s="225">
        <v>3250.0</v>
      </c>
      <c r="J11" s="225">
        <v>3.0</v>
      </c>
      <c r="K11" s="225">
        <v>262.0967741935484</v>
      </c>
      <c r="L11" s="225">
        <v>786.2903225806452</v>
      </c>
      <c r="M11" s="225">
        <v>10725.0</v>
      </c>
      <c r="N11" s="225">
        <v>2.0</v>
      </c>
      <c r="O11" s="225">
        <v>4193.548387096775</v>
      </c>
      <c r="P11" s="225">
        <v>108067.74193548388</v>
      </c>
      <c r="Q11" s="225">
        <v>8580.0</v>
      </c>
      <c r="R11" s="225">
        <v>107567.74193548388</v>
      </c>
      <c r="S11" s="225">
        <v>98987.74193548388</v>
      </c>
    </row>
    <row r="12" spans="1:19" x14ac:dyDescent="0.15">
      <c r="A12" s="225">
        <v>122438.0</v>
      </c>
      <c r="B12" t="s" s="225">
        <v>40</v>
      </c>
      <c r="C12" t="s" s="225">
        <v>41</v>
      </c>
      <c r="D12" t="s" s="225">
        <v>21</v>
      </c>
      <c r="E12" s="225">
        <v>1.224140038E9</v>
      </c>
      <c r="F12" s="225">
        <v>65000.0</v>
      </c>
      <c r="G12" s="225">
        <v>26000.0</v>
      </c>
      <c r="H12" s="225">
        <v>6500.0</v>
      </c>
      <c r="I12" s="225">
        <v>3250.0</v>
      </c>
      <c r="J12" s="225">
        <v>3.0</v>
      </c>
      <c r="K12" s="225">
        <v>262.0967741935484</v>
      </c>
      <c r="L12" s="225">
        <v>786.2903225806452</v>
      </c>
      <c r="M12" s="225">
        <v>10725.0</v>
      </c>
      <c r="N12" s="225">
        <v>2.0</v>
      </c>
      <c r="O12" s="225">
        <v>4193.548387096775</v>
      </c>
      <c r="P12" s="225">
        <v>108067.74193548388</v>
      </c>
      <c r="Q12" s="225">
        <v>8580.0</v>
      </c>
      <c r="R12" s="225">
        <v>107567.74193548388</v>
      </c>
      <c r="S12" s="225">
        <v>98987.74193548388</v>
      </c>
    </row>
    <row r="13" spans="1:19" x14ac:dyDescent="0.15">
      <c r="A13" s="225">
        <v>122437.0</v>
      </c>
      <c r="B13" t="s" s="225">
        <v>42</v>
      </c>
      <c r="C13" t="s" s="225">
        <v>43</v>
      </c>
      <c r="D13" t="s" s="225">
        <v>21</v>
      </c>
      <c r="E13" s="225">
        <v>1.224140037E9</v>
      </c>
      <c r="F13" s="225">
        <v>65000.0</v>
      </c>
      <c r="G13" s="225">
        <v>26000.0</v>
      </c>
      <c r="H13" s="225">
        <v>6500.0</v>
      </c>
      <c r="I13" s="225">
        <v>3250.0</v>
      </c>
      <c r="J13" s="225">
        <v>2.0</v>
      </c>
      <c r="K13" s="225">
        <v>262.0967741935484</v>
      </c>
      <c r="L13" s="225">
        <v>524.1935483870968</v>
      </c>
      <c r="M13" s="225">
        <v>10725.0</v>
      </c>
      <c r="N13" s="225">
        <v>2.0</v>
      </c>
      <c r="O13" s="225">
        <v>4193.548387096775</v>
      </c>
      <c r="P13" s="225">
        <v>107805.64516129032</v>
      </c>
      <c r="Q13" s="225">
        <v>8580.0</v>
      </c>
      <c r="R13" s="225">
        <v>107305.64516129032</v>
      </c>
      <c r="S13" s="225">
        <v>98725.64516129032</v>
      </c>
    </row>
    <row r="14" spans="1:19" x14ac:dyDescent="0.15">
      <c r="A14" s="225">
        <v>122436.0</v>
      </c>
      <c r="B14" t="s" s="225">
        <v>44</v>
      </c>
      <c r="C14" t="s" s="225">
        <v>45</v>
      </c>
      <c r="D14" t="s" s="225">
        <v>21</v>
      </c>
      <c r="E14" s="225">
        <v>1.224140036E9</v>
      </c>
      <c r="F14" s="225">
        <v>65000.0</v>
      </c>
      <c r="G14" s="225">
        <v>26000.0</v>
      </c>
      <c r="H14" s="225">
        <v>6500.0</v>
      </c>
      <c r="I14" s="225">
        <v>3250.0</v>
      </c>
      <c r="J14" s="225">
        <v>12.0</v>
      </c>
      <c r="K14" s="225">
        <v>262.0967741935484</v>
      </c>
      <c r="L14" s="225">
        <v>3145.161290322581</v>
      </c>
      <c r="M14" s="225">
        <v>10725.0</v>
      </c>
      <c r="N14" s="225">
        <v>3.0</v>
      </c>
      <c r="O14" s="225">
        <v>6290.322580645162</v>
      </c>
      <c r="P14" s="225">
        <v>108329.83870967741</v>
      </c>
      <c r="Q14" s="225">
        <v>8580.0</v>
      </c>
      <c r="R14" s="225">
        <v>107829.83870967741</v>
      </c>
      <c r="S14" s="225">
        <v>99249.83870967741</v>
      </c>
    </row>
    <row r="15" spans="1:19" x14ac:dyDescent="0.15">
      <c r="A15" s="225">
        <v>122414.0</v>
      </c>
      <c r="B15" t="s" s="225">
        <v>46</v>
      </c>
      <c r="C15" t="s" s="225">
        <v>47</v>
      </c>
      <c r="D15" t="s" s="225">
        <v>21</v>
      </c>
      <c r="E15" s="225">
        <v>1.224140014E9</v>
      </c>
      <c r="F15" s="225">
        <v>70000.0</v>
      </c>
      <c r="G15" s="225">
        <v>28000.0</v>
      </c>
      <c r="H15" s="225">
        <v>7000.0</v>
      </c>
      <c r="I15" s="225">
        <v>3500.0</v>
      </c>
      <c r="J15" s="225">
        <v>13.0</v>
      </c>
      <c r="K15" s="225">
        <v>282.258064516129</v>
      </c>
      <c r="L15" s="225">
        <v>3669.354838709677</v>
      </c>
      <c r="M15" s="225">
        <v>11550.0</v>
      </c>
      <c r="N15" s="225">
        <v>2.0</v>
      </c>
      <c r="O15" s="225">
        <v>4516.129032258064</v>
      </c>
      <c r="P15" s="225">
        <v>119203.22580645162</v>
      </c>
      <c r="Q15" s="225">
        <v>9240.0</v>
      </c>
      <c r="R15" s="225">
        <v>118703.22580645162</v>
      </c>
      <c r="S15" s="225">
        <v>109463.22580645162</v>
      </c>
    </row>
    <row r="16" spans="1:19" x14ac:dyDescent="0.15">
      <c r="A16" s="225">
        <v>122434.0</v>
      </c>
      <c r="B16" t="s" s="225">
        <v>48</v>
      </c>
      <c r="C16" t="s" s="225">
        <v>49</v>
      </c>
      <c r="D16" t="s" s="225">
        <v>21</v>
      </c>
      <c r="E16" s="225">
        <v>1.224140034E9</v>
      </c>
      <c r="F16" s="225">
        <v>65000.0</v>
      </c>
      <c r="G16" s="225">
        <v>26000.0</v>
      </c>
      <c r="H16" s="225">
        <v>6500.0</v>
      </c>
      <c r="I16" s="225">
        <v>3250.0</v>
      </c>
      <c r="J16" s="225">
        <v>10.0</v>
      </c>
      <c r="K16" s="225">
        <v>262.0967741935484</v>
      </c>
      <c r="L16" s="225">
        <v>2620.967741935484</v>
      </c>
      <c r="M16" s="225">
        <v>10725.0</v>
      </c>
      <c r="N16" s="225">
        <v>3.0</v>
      </c>
      <c r="O16" s="225">
        <v>6290.322580645162</v>
      </c>
      <c r="P16" s="225">
        <v>107805.64516129032</v>
      </c>
      <c r="Q16" s="225">
        <v>8580.0</v>
      </c>
      <c r="R16" s="225">
        <v>107305.64516129032</v>
      </c>
      <c r="S16" s="225">
        <v>98725.64516129032</v>
      </c>
    </row>
    <row r="17" spans="1:19" x14ac:dyDescent="0.15">
      <c r="A17" s="225">
        <v>122433.0</v>
      </c>
      <c r="B17" t="s" s="225">
        <v>50</v>
      </c>
      <c r="C17" t="s" s="225">
        <v>51</v>
      </c>
      <c r="D17" t="s" s="225">
        <v>21</v>
      </c>
      <c r="E17" s="225">
        <v>1.224140033E9</v>
      </c>
      <c r="F17" s="225">
        <v>30000.0</v>
      </c>
      <c r="G17" s="225">
        <v>12000.0</v>
      </c>
      <c r="H17" s="225">
        <v>3000.0</v>
      </c>
      <c r="I17" s="225">
        <v>1500.0</v>
      </c>
      <c r="J17" s="225">
        <v>9.0</v>
      </c>
      <c r="K17" s="225">
        <v>120.96774193548387</v>
      </c>
      <c r="L17" s="225">
        <v>1088.7096774193549</v>
      </c>
      <c r="M17" s="225">
        <v>4950.0</v>
      </c>
      <c r="N17" s="225">
        <v>3.0</v>
      </c>
      <c r="O17" s="225">
        <v>2903.2258064516127</v>
      </c>
      <c r="P17" s="225">
        <v>49635.48387096774</v>
      </c>
      <c r="Q17" s="225">
        <v>3960.0</v>
      </c>
      <c r="R17" s="225">
        <v>49135.48387096774</v>
      </c>
      <c r="S17" s="225">
        <v>45175.48387096774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6"/>
  <sheetViews>
    <sheetView zoomScaleNormal="100" topLeftCell="C1" workbookViewId="0">
      <selection activeCell="C3" activeCellId="0" sqref="C3"/>
    </sheetView>
  </sheetViews>
  <sheetFormatPr defaultRowHeight="15.0" defaultColWidth="9.0" x14ac:dyDescent="0.15"/>
  <cols>
    <col min="1" max="1" width="17.0" customWidth="1"/>
    <col min="2" max="2" width="33.25" customWidth="1"/>
    <col min="3" max="3" width="32.125" customWidth="1"/>
    <col min="4" max="4" width="39.125" customWidth="1"/>
    <col min="5" max="5" width="26.125" customWidth="1"/>
  </cols>
  <sheetData>
    <row r="1" spans="2:2" x14ac:dyDescent="0.15">
      <c r="B1" s="1" t="s">
        <v>52</v>
      </c>
    </row>
    <row r="2" spans="1:4" x14ac:dyDescent="0.15">
      <c r="A2" s="1" t="s">
        <v>53</v>
      </c>
      <c r="B2" s="1" t="s">
        <v>54</v>
      </c>
      <c r="C2" s="1" t="s">
        <v>55</v>
      </c>
      <c r="D2" s="1" t="s">
        <v>56</v>
      </c>
    </row>
    <row r="3" spans="1:4" x14ac:dyDescent="0.15">
      <c r="A3" s="28" t="s">
        <v>57</v>
      </c>
      <c r="B3" s="1">
        <v>237765.0</v>
      </c>
      <c r="C3" s="1">
        <v>2156312.6774193547</v>
      </c>
      <c r="D3" s="1">
        <v>73887.09677419356</v>
      </c>
    </row>
    <row r="4" spans="1:4" x14ac:dyDescent="0.15">
      <c r="A4" s="28" t="s">
        <v>21</v>
      </c>
      <c r="B4" s="1">
        <v>181995.0</v>
      </c>
      <c r="C4" s="1">
        <v>1659157.8709677418</v>
      </c>
      <c r="D4" s="1">
        <v>37205.645161290326</v>
      </c>
    </row>
    <row r="5" spans="1:4" x14ac:dyDescent="0.15">
      <c r="A5" s="28" t="s">
        <v>58</v>
      </c>
      <c r="B5" s="1">
        <v>194865.0</v>
      </c>
      <c r="C5" s="1">
        <v>1759885.9032258065</v>
      </c>
      <c r="D5" s="1">
        <v>38927.419354838705</v>
      </c>
    </row>
    <row r="6" spans="1:4" x14ac:dyDescent="0.15">
      <c r="A6" s="28" t="s">
        <v>59</v>
      </c>
      <c r="B6" s="1">
        <v>614625.0</v>
      </c>
      <c r="C6" s="1">
        <v>5575356.451612903</v>
      </c>
      <c r="D6" s="1">
        <v>150020.16129032258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S52"/>
  <sheetViews>
    <sheetView zoomScaleNormal="100" topLeftCell="A1" workbookViewId="0">
      <selection activeCell="A1" activeCellId="0" sqref="A1:S52"/>
    </sheetView>
  </sheetViews>
  <sheetFormatPr defaultRowHeight="15.0" defaultColWidth="9.0" x14ac:dyDescent="0.15"/>
  <cols>
    <col min="1" max="1" width="11.625" customWidth="1"/>
    <col min="2" max="2" width="9.0"/>
    <col min="3" max="3" width="21.375" customWidth="1"/>
    <col min="4" max="4" width="18.875" customWidth="1"/>
    <col min="5" max="5" width="25.0" customWidth="1"/>
    <col min="6" max="6" width="19.125" customWidth="1"/>
    <col min="7" max="7" width="15.375" customWidth="1"/>
    <col min="8" max="8" width="13.875" customWidth="1"/>
    <col min="9" max="9" width="24.625" customWidth="1"/>
    <col min="10" max="10" width="23.625" customWidth="1"/>
    <col min="11" max="11" width="13.625" customWidth="1"/>
    <col min="12" max="12" width="24.125" customWidth="1"/>
    <col min="13" max="13" width="18.625" customWidth="1"/>
    <col min="14" max="14" width="12.0" customWidth="1"/>
    <col min="15" max="15" width="31.75" customWidth="1"/>
    <col min="16" max="16" width="20.0" customWidth="1"/>
    <col min="17" max="17" width="13.375" customWidth="1"/>
    <col min="18" max="18" width="23.25" customWidth="1"/>
    <col min="19" max="19" width="17.5" customWidth="1"/>
  </cols>
  <sheetData>
    <row r="1" spans="1:19" x14ac:dyDescent="0.15">
      <c r="A1" t="s" s="225">
        <v>0</v>
      </c>
      <c r="B1" t="s" s="225">
        <v>1</v>
      </c>
      <c r="C1" t="s" s="225">
        <v>2</v>
      </c>
      <c r="D1" t="s" s="225">
        <v>3</v>
      </c>
      <c r="E1" t="s" s="225">
        <v>4</v>
      </c>
      <c r="F1" t="s" s="225">
        <v>5</v>
      </c>
      <c r="G1" t="s" s="225">
        <v>6</v>
      </c>
      <c r="H1" t="s" s="225">
        <v>7</v>
      </c>
      <c r="I1" t="s" s="225">
        <v>8</v>
      </c>
      <c r="J1" t="s" s="225">
        <v>9</v>
      </c>
      <c r="K1" t="s" s="225">
        <v>10</v>
      </c>
      <c r="L1" t="s" s="225">
        <v>11</v>
      </c>
      <c r="M1" t="s" s="225">
        <v>12</v>
      </c>
      <c r="N1" t="s" s="225">
        <v>13</v>
      </c>
      <c r="O1" t="s" s="225">
        <v>14</v>
      </c>
      <c r="P1" t="s" s="225">
        <v>15</v>
      </c>
      <c r="Q1" t="s" s="225">
        <v>16</v>
      </c>
      <c r="R1" t="s" s="225">
        <v>17</v>
      </c>
      <c r="S1" t="s" s="225">
        <v>18</v>
      </c>
    </row>
    <row r="2" spans="1:19" x14ac:dyDescent="0.15">
      <c r="A2" s="225">
        <v>122402.0</v>
      </c>
      <c r="B2" t="s" s="225">
        <v>60</v>
      </c>
      <c r="C2" t="s" s="225">
        <v>61</v>
      </c>
      <c r="D2" t="s" s="225">
        <v>57</v>
      </c>
      <c r="E2" s="225">
        <v>1.224140002E9</v>
      </c>
      <c r="F2" s="225">
        <v>20000.0</v>
      </c>
      <c r="G2" s="225">
        <v>8000.0</v>
      </c>
      <c r="H2" s="225">
        <v>2000.0</v>
      </c>
      <c r="I2" s="225">
        <v>1000.0</v>
      </c>
      <c r="J2" s="225">
        <v>9.0</v>
      </c>
      <c r="K2" s="225">
        <v>80.64516129032258</v>
      </c>
      <c r="L2" s="225">
        <v>725.8064516129032</v>
      </c>
      <c r="M2" s="225">
        <v>3300.0</v>
      </c>
      <c r="N2" s="225">
        <v>4.0</v>
      </c>
      <c r="O2" s="225">
        <v>2580.6451612903224</v>
      </c>
      <c r="P2" s="225">
        <v>32445.16129032258</v>
      </c>
      <c r="Q2" s="225">
        <v>2640.0</v>
      </c>
      <c r="R2" s="225">
        <v>31945.16129032258</v>
      </c>
      <c r="S2" s="225">
        <v>29305.16129032258</v>
      </c>
    </row>
    <row r="3" spans="1:19" x14ac:dyDescent="0.15">
      <c r="A3" s="225">
        <v>122403.0</v>
      </c>
      <c r="B3" t="s" s="225">
        <v>62</v>
      </c>
      <c r="C3" t="s" s="225">
        <v>63</v>
      </c>
      <c r="D3" t="s" s="225">
        <v>57</v>
      </c>
      <c r="E3" s="225">
        <v>1.224140003E9</v>
      </c>
      <c r="F3" s="225">
        <v>176000.0</v>
      </c>
      <c r="G3" s="225">
        <v>70400.0</v>
      </c>
      <c r="H3" s="225">
        <v>17600.0</v>
      </c>
      <c r="I3" s="225">
        <v>8800.0</v>
      </c>
      <c r="J3" s="225">
        <v>20.0</v>
      </c>
      <c r="K3" s="225">
        <v>709.6774193548387</v>
      </c>
      <c r="L3" s="225">
        <v>14193.548387096773</v>
      </c>
      <c r="M3" s="225">
        <v>29040.0</v>
      </c>
      <c r="N3" s="225">
        <v>5.0</v>
      </c>
      <c r="O3" s="225">
        <v>28387.096774193546</v>
      </c>
      <c r="P3" s="225">
        <v>287646.45161290327</v>
      </c>
      <c r="Q3" s="225">
        <v>23232.0</v>
      </c>
      <c r="R3" s="225">
        <v>287146.45161290327</v>
      </c>
      <c r="S3" s="225">
        <v>263914.45161290327</v>
      </c>
    </row>
    <row r="4" spans="1:19" x14ac:dyDescent="0.15">
      <c r="A4" s="225">
        <v>122404.0</v>
      </c>
      <c r="B4" t="s" s="225">
        <v>64</v>
      </c>
      <c r="C4" t="s" s="225">
        <v>65</v>
      </c>
      <c r="D4" t="s" s="225">
        <v>57</v>
      </c>
      <c r="E4" s="225">
        <v>1.224140004E9</v>
      </c>
      <c r="F4" s="225">
        <v>43000.0</v>
      </c>
      <c r="G4" s="225">
        <v>17200.0</v>
      </c>
      <c r="H4" s="225">
        <v>4300.0</v>
      </c>
      <c r="I4" s="225">
        <v>2150.0</v>
      </c>
      <c r="J4" s="225">
        <v>13.0</v>
      </c>
      <c r="K4" s="225">
        <v>173.38709677419354</v>
      </c>
      <c r="L4" s="225">
        <v>2254.032258064516</v>
      </c>
      <c r="M4" s="225">
        <v>7095.0</v>
      </c>
      <c r="N4" s="225">
        <v>6.0</v>
      </c>
      <c r="O4" s="225">
        <v>8322.58064516129</v>
      </c>
      <c r="P4" s="225">
        <v>67676.45161290323</v>
      </c>
      <c r="Q4" s="225">
        <v>5676.0</v>
      </c>
      <c r="R4" s="225">
        <v>67176.45161290323</v>
      </c>
      <c r="S4" s="225">
        <v>61500.45161290323</v>
      </c>
    </row>
    <row r="5" spans="1:19" x14ac:dyDescent="0.15">
      <c r="A5" s="225">
        <v>122411.0</v>
      </c>
      <c r="B5" t="s" s="225">
        <v>49</v>
      </c>
      <c r="C5" t="s" s="225">
        <v>66</v>
      </c>
      <c r="D5" t="s" s="225">
        <v>57</v>
      </c>
      <c r="E5" s="225">
        <v>1.224140011E9</v>
      </c>
      <c r="F5" s="225">
        <v>75000.0</v>
      </c>
      <c r="G5" s="225">
        <v>30000.0</v>
      </c>
      <c r="H5" s="225">
        <v>7500.0</v>
      </c>
      <c r="I5" s="225">
        <v>3750.0</v>
      </c>
      <c r="J5" s="225">
        <v>11.0</v>
      </c>
      <c r="K5" s="225">
        <v>302.4193548387097</v>
      </c>
      <c r="L5" s="225">
        <v>3326.612903225807</v>
      </c>
      <c r="M5" s="225">
        <v>12375.0</v>
      </c>
      <c r="N5" s="225">
        <v>2.0</v>
      </c>
      <c r="O5" s="225">
        <v>4838.709677419355</v>
      </c>
      <c r="P5" s="225">
        <v>127112.90322580647</v>
      </c>
      <c r="Q5" s="225">
        <v>9900.0</v>
      </c>
      <c r="R5" s="225">
        <v>126612.90322580647</v>
      </c>
      <c r="S5" s="225">
        <v>116712.90322580647</v>
      </c>
    </row>
    <row r="6" spans="1:19" x14ac:dyDescent="0.15">
      <c r="A6" s="225">
        <v>122412.0</v>
      </c>
      <c r="B6" t="s" s="225">
        <v>67</v>
      </c>
      <c r="C6" t="s" s="225">
        <v>68</v>
      </c>
      <c r="D6" t="s" s="225">
        <v>57</v>
      </c>
      <c r="E6" s="225">
        <v>1.224140012E9</v>
      </c>
      <c r="F6" s="225">
        <v>65000.0</v>
      </c>
      <c r="G6" s="225">
        <v>26000.0</v>
      </c>
      <c r="H6" s="225">
        <v>6500.0</v>
      </c>
      <c r="I6" s="225">
        <v>3250.0</v>
      </c>
      <c r="J6" s="225">
        <v>7.0</v>
      </c>
      <c r="K6" s="225">
        <v>262.0967741935484</v>
      </c>
      <c r="L6" s="225">
        <v>1834.677419354839</v>
      </c>
      <c r="M6" s="225">
        <v>10725.0</v>
      </c>
      <c r="N6" s="225">
        <v>2.0</v>
      </c>
      <c r="O6" s="225">
        <v>4193.548387096775</v>
      </c>
      <c r="P6" s="225">
        <v>109116.12903225806</v>
      </c>
      <c r="Q6" s="225">
        <v>8580.0</v>
      </c>
      <c r="R6" s="225">
        <v>108616.12903225806</v>
      </c>
      <c r="S6" s="225">
        <v>100036.12903225806</v>
      </c>
    </row>
    <row r="7" spans="1:19" x14ac:dyDescent="0.15">
      <c r="A7" s="225">
        <v>122415.0</v>
      </c>
      <c r="B7" t="s" s="225">
        <v>69</v>
      </c>
      <c r="C7" t="s" s="225">
        <v>70</v>
      </c>
      <c r="D7" t="s" s="225">
        <v>57</v>
      </c>
      <c r="E7" s="225">
        <v>1.224140015E9</v>
      </c>
      <c r="F7" s="225">
        <v>65000.0</v>
      </c>
      <c r="G7" s="225">
        <v>26000.0</v>
      </c>
      <c r="H7" s="225">
        <v>6500.0</v>
      </c>
      <c r="I7" s="225">
        <v>3250.0</v>
      </c>
      <c r="J7" s="225">
        <v>14.0</v>
      </c>
      <c r="K7" s="225">
        <v>262.0967741935484</v>
      </c>
      <c r="L7" s="225">
        <v>3669.354838709678</v>
      </c>
      <c r="M7" s="225">
        <v>10725.0</v>
      </c>
      <c r="N7" s="225">
        <v>2.0</v>
      </c>
      <c r="O7" s="225">
        <v>4193.548387096775</v>
      </c>
      <c r="P7" s="225">
        <v>110950.80645161291</v>
      </c>
      <c r="Q7" s="225">
        <v>8580.0</v>
      </c>
      <c r="R7" s="225">
        <v>110450.80645161291</v>
      </c>
      <c r="S7" s="225">
        <v>101870.80645161291</v>
      </c>
    </row>
    <row r="8" spans="1:19" x14ac:dyDescent="0.15">
      <c r="A8" s="225">
        <v>122416.0</v>
      </c>
      <c r="B8" t="s" s="225">
        <v>71</v>
      </c>
      <c r="C8" t="s" s="225">
        <v>72</v>
      </c>
      <c r="D8" t="s" s="225">
        <v>57</v>
      </c>
      <c r="E8" s="225">
        <v>1.224140016E9</v>
      </c>
      <c r="F8" s="225">
        <v>56000.0</v>
      </c>
      <c r="G8" s="225">
        <v>22400.0</v>
      </c>
      <c r="H8" s="225">
        <v>5600.0</v>
      </c>
      <c r="I8" s="225">
        <v>2800.0</v>
      </c>
      <c r="J8" s="225">
        <v>7.0</v>
      </c>
      <c r="K8" s="225">
        <v>225.80645161290323</v>
      </c>
      <c r="L8" s="225">
        <v>1580.6451612903227</v>
      </c>
      <c r="M8" s="225">
        <v>9240.0</v>
      </c>
      <c r="N8" s="225">
        <v>2.0</v>
      </c>
      <c r="O8" s="225">
        <v>3612.9032258064517</v>
      </c>
      <c r="P8" s="225">
        <v>94007.74193548386</v>
      </c>
      <c r="Q8" s="225">
        <v>7392.0</v>
      </c>
      <c r="R8" s="225">
        <v>93507.74193548386</v>
      </c>
      <c r="S8" s="225">
        <v>86115.74193548386</v>
      </c>
    </row>
    <row r="9" spans="1:19" x14ac:dyDescent="0.15">
      <c r="A9" s="225">
        <v>122417.0</v>
      </c>
      <c r="B9" t="s" s="225">
        <v>73</v>
      </c>
      <c r="C9" t="s" s="225">
        <v>74</v>
      </c>
      <c r="D9" t="s" s="225">
        <v>57</v>
      </c>
      <c r="E9" s="225">
        <v>1.224140017E9</v>
      </c>
      <c r="F9" s="225">
        <v>56000.0</v>
      </c>
      <c r="G9" s="225">
        <v>22400.0</v>
      </c>
      <c r="H9" s="225">
        <v>5600.0</v>
      </c>
      <c r="I9" s="225">
        <v>2800.0</v>
      </c>
      <c r="J9" s="225">
        <v>8.0</v>
      </c>
      <c r="K9" s="225">
        <v>225.80645161290323</v>
      </c>
      <c r="L9" s="225">
        <v>1806.4516129032259</v>
      </c>
      <c r="M9" s="225">
        <v>9240.0</v>
      </c>
      <c r="N9" s="225">
        <v>5.0</v>
      </c>
      <c r="O9" s="225">
        <v>9032.258064516129</v>
      </c>
      <c r="P9" s="225">
        <v>88814.19354838709</v>
      </c>
      <c r="Q9" s="225">
        <v>7392.0</v>
      </c>
      <c r="R9" s="225">
        <v>88314.19354838709</v>
      </c>
      <c r="S9" s="225">
        <v>80922.19354838709</v>
      </c>
    </row>
    <row r="10" spans="1:19" x14ac:dyDescent="0.15">
      <c r="A10" s="225">
        <v>122418.0</v>
      </c>
      <c r="B10" t="s" s="225">
        <v>75</v>
      </c>
      <c r="C10" t="s" s="225">
        <v>76</v>
      </c>
      <c r="D10" t="s" s="225">
        <v>57</v>
      </c>
      <c r="E10" s="225">
        <v>1.224140018E9</v>
      </c>
      <c r="F10" s="225">
        <v>245000.0</v>
      </c>
      <c r="G10" s="225">
        <v>98000.0</v>
      </c>
      <c r="H10" s="225">
        <v>24500.0</v>
      </c>
      <c r="I10" s="225">
        <v>12250.0</v>
      </c>
      <c r="J10" s="225">
        <v>9.0</v>
      </c>
      <c r="K10" s="225">
        <v>987.9032258064516</v>
      </c>
      <c r="L10" s="225">
        <v>8891.129032258064</v>
      </c>
      <c r="M10" s="225">
        <v>40425.0</v>
      </c>
      <c r="N10" s="225">
        <v>5.0</v>
      </c>
      <c r="O10" s="225">
        <v>39516.12903225806</v>
      </c>
      <c r="P10" s="225">
        <v>389550.0</v>
      </c>
      <c r="Q10" s="225">
        <v>32340.0</v>
      </c>
      <c r="R10" s="225">
        <v>389050.0</v>
      </c>
      <c r="S10" s="225">
        <v>356710.0</v>
      </c>
    </row>
    <row r="11" spans="1:19" x14ac:dyDescent="0.15">
      <c r="A11" s="225">
        <v>122425.0</v>
      </c>
      <c r="B11" t="s" s="225">
        <v>77</v>
      </c>
      <c r="C11" t="s" s="225">
        <v>78</v>
      </c>
      <c r="D11" t="s" s="225">
        <v>57</v>
      </c>
      <c r="E11" s="225">
        <v>1.224140025E9</v>
      </c>
      <c r="F11" s="225">
        <v>150000.0</v>
      </c>
      <c r="G11" s="225">
        <v>60000.0</v>
      </c>
      <c r="H11" s="225">
        <v>15000.0</v>
      </c>
      <c r="I11" s="225">
        <v>7500.0</v>
      </c>
      <c r="J11" s="225">
        <v>16.0</v>
      </c>
      <c r="K11" s="225">
        <v>604.8387096774194</v>
      </c>
      <c r="L11" s="225">
        <v>9677.41935483871</v>
      </c>
      <c r="M11" s="225">
        <v>24750.0</v>
      </c>
      <c r="N11" s="225">
        <v>3.0</v>
      </c>
      <c r="O11" s="225">
        <v>14516.129032258064</v>
      </c>
      <c r="P11" s="225">
        <v>252411.2903225806</v>
      </c>
      <c r="Q11" s="225">
        <v>19800.0</v>
      </c>
      <c r="R11" s="225">
        <v>251911.2903225806</v>
      </c>
      <c r="S11" s="225">
        <v>232111.2903225806</v>
      </c>
    </row>
    <row r="12" spans="1:19" x14ac:dyDescent="0.15">
      <c r="A12" s="225">
        <v>122426.0</v>
      </c>
      <c r="B12" t="s" s="225">
        <v>79</v>
      </c>
      <c r="C12" t="s" s="225">
        <v>80</v>
      </c>
      <c r="D12" t="s" s="225">
        <v>57</v>
      </c>
      <c r="E12" s="225">
        <v>1.224140026E9</v>
      </c>
      <c r="F12" s="225">
        <v>45000.0</v>
      </c>
      <c r="G12" s="225">
        <v>18000.0</v>
      </c>
      <c r="H12" s="225">
        <v>4500.0</v>
      </c>
      <c r="I12" s="225">
        <v>2250.0</v>
      </c>
      <c r="J12" s="225">
        <v>17.0</v>
      </c>
      <c r="K12" s="225">
        <v>181.4516129032258</v>
      </c>
      <c r="L12" s="225">
        <v>3084.6774193548385</v>
      </c>
      <c r="M12" s="225">
        <v>7425.0</v>
      </c>
      <c r="N12" s="225">
        <v>4.0</v>
      </c>
      <c r="O12" s="225">
        <v>5806.451612903225</v>
      </c>
      <c r="P12" s="225">
        <v>74453.2258064516</v>
      </c>
      <c r="Q12" s="225">
        <v>5940.0</v>
      </c>
      <c r="R12" s="225">
        <v>73953.2258064516</v>
      </c>
      <c r="S12" s="225">
        <v>68013.2258064516</v>
      </c>
    </row>
    <row r="13" spans="1:19" x14ac:dyDescent="0.15">
      <c r="A13" s="225">
        <v>122427.0</v>
      </c>
      <c r="B13" t="s" s="225">
        <v>81</v>
      </c>
      <c r="C13" t="s" s="225">
        <v>82</v>
      </c>
      <c r="D13" t="s" s="225">
        <v>57</v>
      </c>
      <c r="E13" s="225">
        <v>1.224140027E9</v>
      </c>
      <c r="F13" s="225">
        <v>230000.0</v>
      </c>
      <c r="G13" s="225">
        <v>92000.0</v>
      </c>
      <c r="H13" s="225">
        <v>23000.0</v>
      </c>
      <c r="I13" s="225">
        <v>11500.0</v>
      </c>
      <c r="J13" s="225">
        <v>18.0</v>
      </c>
      <c r="K13" s="225">
        <v>927.4193548387096</v>
      </c>
      <c r="L13" s="225">
        <v>16693.548387096773</v>
      </c>
      <c r="M13" s="225">
        <v>37950.0</v>
      </c>
      <c r="N13" s="225">
        <v>5.0</v>
      </c>
      <c r="O13" s="225">
        <v>37096.77419354839</v>
      </c>
      <c r="P13" s="225">
        <v>374046.7741935484</v>
      </c>
      <c r="Q13" s="225">
        <v>30360.0</v>
      </c>
      <c r="R13" s="225">
        <v>373546.7741935484</v>
      </c>
      <c r="S13" s="225">
        <v>343186.7741935484</v>
      </c>
    </row>
    <row r="14" spans="1:19" x14ac:dyDescent="0.15">
      <c r="A14" s="225">
        <v>122428.0</v>
      </c>
      <c r="B14" t="s" s="225">
        <v>83</v>
      </c>
      <c r="C14" t="s" s="225">
        <v>84</v>
      </c>
      <c r="D14" t="s" s="225">
        <v>57</v>
      </c>
      <c r="E14" s="225">
        <v>1.224140028E9</v>
      </c>
      <c r="F14" s="225">
        <v>30000.0</v>
      </c>
      <c r="G14" s="225">
        <v>12000.0</v>
      </c>
      <c r="H14" s="225">
        <v>3000.0</v>
      </c>
      <c r="I14" s="225">
        <v>1500.0</v>
      </c>
      <c r="J14" s="225">
        <v>1.0</v>
      </c>
      <c r="K14" s="225">
        <v>120.96774193548387</v>
      </c>
      <c r="L14" s="225">
        <v>120.96774193548387</v>
      </c>
      <c r="M14" s="225">
        <v>4950.0</v>
      </c>
      <c r="N14" s="225">
        <v>6.0</v>
      </c>
      <c r="O14" s="225">
        <v>5806.451612903225</v>
      </c>
      <c r="P14" s="225">
        <v>45764.51612903226</v>
      </c>
      <c r="Q14" s="225">
        <v>3960.0</v>
      </c>
      <c r="R14" s="225">
        <v>45264.51612903226</v>
      </c>
      <c r="S14" s="225">
        <v>41304.51612903226</v>
      </c>
    </row>
    <row r="15" spans="1:19" x14ac:dyDescent="0.15">
      <c r="A15" s="225">
        <v>122429.0</v>
      </c>
      <c r="B15" t="s" s="225">
        <v>85</v>
      </c>
      <c r="C15" t="s" s="225">
        <v>86</v>
      </c>
      <c r="D15" t="s" s="225">
        <v>57</v>
      </c>
      <c r="E15" s="225">
        <v>1.224140029E9</v>
      </c>
      <c r="F15" s="225">
        <v>30000.0</v>
      </c>
      <c r="G15" s="225">
        <v>12000.0</v>
      </c>
      <c r="H15" s="225">
        <v>3000.0</v>
      </c>
      <c r="I15" s="225">
        <v>1500.0</v>
      </c>
      <c r="J15" s="225">
        <v>5.0</v>
      </c>
      <c r="K15" s="225">
        <v>120.96774193548387</v>
      </c>
      <c r="L15" s="225">
        <v>604.8387096774194</v>
      </c>
      <c r="M15" s="225">
        <v>4950.0</v>
      </c>
      <c r="N15" s="225">
        <v>7.0</v>
      </c>
      <c r="O15" s="225">
        <v>6774.193548387097</v>
      </c>
      <c r="P15" s="225">
        <v>45280.64516129032</v>
      </c>
      <c r="Q15" s="225">
        <v>3960.0</v>
      </c>
      <c r="R15" s="225">
        <v>44780.64516129032</v>
      </c>
      <c r="S15" s="225">
        <v>40820.64516129032</v>
      </c>
    </row>
    <row r="16" spans="1:19" x14ac:dyDescent="0.15">
      <c r="A16" s="225">
        <v>122430.0</v>
      </c>
      <c r="B16" t="s" s="225">
        <v>87</v>
      </c>
      <c r="C16" t="s" s="225">
        <v>88</v>
      </c>
      <c r="D16" t="s" s="225">
        <v>57</v>
      </c>
      <c r="E16" s="225">
        <v>1.22414003E9</v>
      </c>
      <c r="F16" s="225">
        <v>30000.0</v>
      </c>
      <c r="G16" s="225">
        <v>12000.0</v>
      </c>
      <c r="H16" s="225">
        <v>3000.0</v>
      </c>
      <c r="I16" s="225">
        <v>1500.0</v>
      </c>
      <c r="J16" s="225">
        <v>6.0</v>
      </c>
      <c r="K16" s="225">
        <v>120.96774193548387</v>
      </c>
      <c r="L16" s="225">
        <v>725.8064516129032</v>
      </c>
      <c r="M16" s="225">
        <v>4950.0</v>
      </c>
      <c r="N16" s="225">
        <v>3.0</v>
      </c>
      <c r="O16" s="225">
        <v>2903.2258064516127</v>
      </c>
      <c r="P16" s="225">
        <v>49272.58064516129</v>
      </c>
      <c r="Q16" s="225">
        <v>3960.0</v>
      </c>
      <c r="R16" s="225">
        <v>48772.58064516129</v>
      </c>
      <c r="S16" s="225">
        <v>44812.58064516129</v>
      </c>
    </row>
    <row r="17" spans="1:19" x14ac:dyDescent="0.15">
      <c r="A17" s="225">
        <v>122431.0</v>
      </c>
      <c r="B17" t="s" s="225">
        <v>89</v>
      </c>
      <c r="C17" t="s" s="225">
        <v>90</v>
      </c>
      <c r="D17" t="s" s="225">
        <v>57</v>
      </c>
      <c r="E17" s="225">
        <v>1.224140031E9</v>
      </c>
      <c r="F17" s="225">
        <v>30000.0</v>
      </c>
      <c r="G17" s="225">
        <v>12000.0</v>
      </c>
      <c r="H17" s="225">
        <v>3000.0</v>
      </c>
      <c r="I17" s="225">
        <v>1500.0</v>
      </c>
      <c r="J17" s="225">
        <v>7.0</v>
      </c>
      <c r="K17" s="225">
        <v>120.96774193548387</v>
      </c>
      <c r="L17" s="225">
        <v>846.7741935483871</v>
      </c>
      <c r="M17" s="225">
        <v>4950.0</v>
      </c>
      <c r="N17" s="225">
        <v>3.0</v>
      </c>
      <c r="O17" s="225">
        <v>2903.2258064516127</v>
      </c>
      <c r="P17" s="225">
        <v>49393.54838709677</v>
      </c>
      <c r="Q17" s="225">
        <v>3960.0</v>
      </c>
      <c r="R17" s="225">
        <v>48893.54838709677</v>
      </c>
      <c r="S17" s="225">
        <v>44933.54838709677</v>
      </c>
    </row>
    <row r="18" spans="1:19" x14ac:dyDescent="0.15">
      <c r="A18" s="225">
        <v>122432.0</v>
      </c>
      <c r="B18" t="s" s="225">
        <v>91</v>
      </c>
      <c r="C18" t="s" s="225">
        <v>92</v>
      </c>
      <c r="D18" t="s" s="225">
        <v>57</v>
      </c>
      <c r="E18" s="225">
        <v>1.224140032E9</v>
      </c>
      <c r="F18" s="225">
        <v>30000.0</v>
      </c>
      <c r="G18" s="225">
        <v>12000.0</v>
      </c>
      <c r="H18" s="225">
        <v>3000.0</v>
      </c>
      <c r="I18" s="225">
        <v>1500.0</v>
      </c>
      <c r="J18" s="225">
        <v>8.0</v>
      </c>
      <c r="K18" s="225">
        <v>120.96774193548387</v>
      </c>
      <c r="L18" s="225">
        <v>967.741935483871</v>
      </c>
      <c r="M18" s="225">
        <v>4950.0</v>
      </c>
      <c r="N18" s="225">
        <v>3.0</v>
      </c>
      <c r="O18" s="225">
        <v>2903.2258064516127</v>
      </c>
      <c r="P18" s="225">
        <v>49514.51612903226</v>
      </c>
      <c r="Q18" s="225">
        <v>3960.0</v>
      </c>
      <c r="R18" s="225">
        <v>49014.51612903226</v>
      </c>
      <c r="S18" s="225">
        <v>45054.51612903226</v>
      </c>
    </row>
    <row r="19" spans="1:19" x14ac:dyDescent="0.15">
      <c r="A19" s="225">
        <v>122435.0</v>
      </c>
      <c r="B19" t="s" s="225">
        <v>93</v>
      </c>
      <c r="C19" t="s" s="225">
        <v>94</v>
      </c>
      <c r="D19" t="s" s="225">
        <v>57</v>
      </c>
      <c r="E19" s="225">
        <v>1.224140035E9</v>
      </c>
      <c r="F19" s="225">
        <v>65000.0</v>
      </c>
      <c r="G19" s="225">
        <v>26000.0</v>
      </c>
      <c r="H19" s="225">
        <v>6500.0</v>
      </c>
      <c r="I19" s="225">
        <v>3250.0</v>
      </c>
      <c r="J19" s="225">
        <v>11.0</v>
      </c>
      <c r="K19" s="225">
        <v>262.0967741935484</v>
      </c>
      <c r="L19" s="225">
        <v>2883.0645161290327</v>
      </c>
      <c r="M19" s="225">
        <v>10725.0</v>
      </c>
      <c r="N19" s="225">
        <v>3.0</v>
      </c>
      <c r="O19" s="225">
        <v>6290.322580645162</v>
      </c>
      <c r="P19" s="225">
        <v>108067.74193548386</v>
      </c>
      <c r="Q19" s="225">
        <v>8580.0</v>
      </c>
      <c r="R19" s="225">
        <v>107567.74193548386</v>
      </c>
      <c r="S19" s="225">
        <v>98987.74193548386</v>
      </c>
    </row>
    <row r="20" spans="1:19" x14ac:dyDescent="0.15">
      <c r="A20" s="225">
        <v>122401.0</v>
      </c>
      <c r="B20" t="s" s="225">
        <v>19</v>
      </c>
      <c r="C20" t="s" s="225">
        <v>20</v>
      </c>
      <c r="D20" t="s" s="225">
        <v>21</v>
      </c>
      <c r="E20" s="225">
        <v>1.224140001E9</v>
      </c>
      <c r="F20" s="225">
        <v>150000.0</v>
      </c>
      <c r="G20" s="225">
        <v>60000.0</v>
      </c>
      <c r="H20" s="225">
        <v>15000.0</v>
      </c>
      <c r="I20" s="225">
        <v>7500.0</v>
      </c>
      <c r="J20" s="225">
        <v>4.0</v>
      </c>
      <c r="K20" s="225">
        <v>604.8387096774194</v>
      </c>
      <c r="L20" s="225">
        <v>2419.3548387096776</v>
      </c>
      <c r="M20" s="225">
        <v>24750.0</v>
      </c>
      <c r="N20" s="225">
        <v>3.0</v>
      </c>
      <c r="O20" s="225">
        <v>14516.129032258064</v>
      </c>
      <c r="P20" s="225">
        <v>245153.2258064516</v>
      </c>
      <c r="Q20" s="225">
        <v>19800.0</v>
      </c>
      <c r="R20" s="225">
        <v>244653.2258064516</v>
      </c>
      <c r="S20" s="225">
        <v>224853.2258064516</v>
      </c>
    </row>
    <row r="21" spans="1:19" x14ac:dyDescent="0.15">
      <c r="A21" s="225">
        <v>122405.0</v>
      </c>
      <c r="B21" t="s" s="225">
        <v>28</v>
      </c>
      <c r="C21" t="s" s="225">
        <v>29</v>
      </c>
      <c r="D21" t="s" s="225">
        <v>21</v>
      </c>
      <c r="E21" s="225">
        <v>1.224140005E9</v>
      </c>
      <c r="F21" s="225">
        <v>66000.0</v>
      </c>
      <c r="G21" s="225">
        <v>26400.0</v>
      </c>
      <c r="H21" s="225">
        <v>6600.0</v>
      </c>
      <c r="I21" s="225">
        <v>3300.0</v>
      </c>
      <c r="J21" s="225">
        <v>12.0</v>
      </c>
      <c r="K21" s="225">
        <v>266.1290322580645</v>
      </c>
      <c r="L21" s="225">
        <v>3193.548387096774</v>
      </c>
      <c r="M21" s="225">
        <v>10890.0</v>
      </c>
      <c r="N21" s="225">
        <v>7.0</v>
      </c>
      <c r="O21" s="225">
        <v>14903.225806451614</v>
      </c>
      <c r="P21" s="225">
        <v>101480.32258064515</v>
      </c>
      <c r="Q21" s="225">
        <v>8712.0</v>
      </c>
      <c r="R21" s="225">
        <v>100980.32258064515</v>
      </c>
      <c r="S21" s="225">
        <v>92268.32258064515</v>
      </c>
    </row>
    <row r="22" spans="1:19" x14ac:dyDescent="0.15">
      <c r="A22" s="225">
        <v>122406.0</v>
      </c>
      <c r="B22" t="s" s="225">
        <v>30</v>
      </c>
      <c r="C22" t="s" s="225">
        <v>31</v>
      </c>
      <c r="D22" t="s" s="225">
        <v>21</v>
      </c>
      <c r="E22" s="225">
        <v>1.224140006E9</v>
      </c>
      <c r="F22" s="225">
        <v>44000.0</v>
      </c>
      <c r="G22" s="225">
        <v>17600.0</v>
      </c>
      <c r="H22" s="225">
        <v>4400.0</v>
      </c>
      <c r="I22" s="225">
        <v>2200.0</v>
      </c>
      <c r="J22" s="225">
        <v>9.0</v>
      </c>
      <c r="K22" s="225">
        <v>177.41935483870967</v>
      </c>
      <c r="L22" s="225">
        <v>1596.774193548387</v>
      </c>
      <c r="M22" s="225">
        <v>7260.0</v>
      </c>
      <c r="N22" s="225">
        <v>8.0</v>
      </c>
      <c r="O22" s="225">
        <v>11354.838709677419</v>
      </c>
      <c r="P22" s="225">
        <v>65701.93548387097</v>
      </c>
      <c r="Q22" s="225">
        <v>5808.0</v>
      </c>
      <c r="R22" s="225">
        <v>65201.93548387097</v>
      </c>
      <c r="S22" s="225">
        <v>59393.93548387097</v>
      </c>
    </row>
    <row r="23" spans="1:19" x14ac:dyDescent="0.15">
      <c r="A23" s="225">
        <v>122407.0</v>
      </c>
      <c r="B23" t="s" s="225">
        <v>32</v>
      </c>
      <c r="C23" t="s" s="225">
        <v>33</v>
      </c>
      <c r="D23" t="s" s="225">
        <v>21</v>
      </c>
      <c r="E23" s="225">
        <v>1.224140007E9</v>
      </c>
      <c r="F23" s="225">
        <v>65000.0</v>
      </c>
      <c r="G23" s="225">
        <v>26000.0</v>
      </c>
      <c r="H23" s="225">
        <v>6500.0</v>
      </c>
      <c r="I23" s="225">
        <v>3250.0</v>
      </c>
      <c r="J23" s="225">
        <v>32.0</v>
      </c>
      <c r="K23" s="225">
        <v>262.0967741935484</v>
      </c>
      <c r="L23" s="225">
        <v>8387.09677419355</v>
      </c>
      <c r="M23" s="225">
        <v>10725.0</v>
      </c>
      <c r="N23" s="225">
        <v>9.0</v>
      </c>
      <c r="O23" s="225">
        <v>18870.967741935485</v>
      </c>
      <c r="P23" s="225">
        <v>100991.12903225806</v>
      </c>
      <c r="Q23" s="225">
        <v>8580.0</v>
      </c>
      <c r="R23" s="225">
        <v>100491.12903225806</v>
      </c>
      <c r="S23" s="225">
        <v>91911.12903225806</v>
      </c>
    </row>
    <row r="24" spans="1:19" x14ac:dyDescent="0.15">
      <c r="A24" s="225">
        <v>122408.0</v>
      </c>
      <c r="B24" t="s" s="225">
        <v>34</v>
      </c>
      <c r="C24" t="s" s="225">
        <v>35</v>
      </c>
      <c r="D24" t="s" s="225">
        <v>21</v>
      </c>
      <c r="E24" s="225">
        <v>1.224140008E9</v>
      </c>
      <c r="F24" s="225">
        <v>65000.0</v>
      </c>
      <c r="G24" s="225">
        <v>26000.0</v>
      </c>
      <c r="H24" s="225">
        <v>6500.0</v>
      </c>
      <c r="I24" s="225">
        <v>3250.0</v>
      </c>
      <c r="J24" s="225">
        <v>21.0</v>
      </c>
      <c r="K24" s="225">
        <v>262.0967741935484</v>
      </c>
      <c r="L24" s="225">
        <v>5504.032258064517</v>
      </c>
      <c r="M24" s="225">
        <v>10725.0</v>
      </c>
      <c r="N24" s="225">
        <v>2.0</v>
      </c>
      <c r="O24" s="225">
        <v>4193.548387096775</v>
      </c>
      <c r="P24" s="225">
        <v>112785.48387096774</v>
      </c>
      <c r="Q24" s="225">
        <v>8580.0</v>
      </c>
      <c r="R24" s="225">
        <v>112285.48387096774</v>
      </c>
      <c r="S24" s="225">
        <v>103705.48387096774</v>
      </c>
    </row>
    <row r="25" spans="1:19" x14ac:dyDescent="0.15">
      <c r="A25" s="225">
        <v>122414.0</v>
      </c>
      <c r="B25" t="s" s="225">
        <v>46</v>
      </c>
      <c r="C25" t="s" s="225">
        <v>47</v>
      </c>
      <c r="D25" t="s" s="225">
        <v>21</v>
      </c>
      <c r="E25" s="225">
        <v>1.224140014E9</v>
      </c>
      <c r="F25" s="225">
        <v>70000.0</v>
      </c>
      <c r="G25" s="225">
        <v>28000.0</v>
      </c>
      <c r="H25" s="225">
        <v>7000.0</v>
      </c>
      <c r="I25" s="225">
        <v>3500.0</v>
      </c>
      <c r="J25" s="225">
        <v>13.0</v>
      </c>
      <c r="K25" s="225">
        <v>282.258064516129</v>
      </c>
      <c r="L25" s="225">
        <v>3669.354838709677</v>
      </c>
      <c r="M25" s="225">
        <v>11550.0</v>
      </c>
      <c r="N25" s="225">
        <v>2.0</v>
      </c>
      <c r="O25" s="225">
        <v>4516.129032258064</v>
      </c>
      <c r="P25" s="225">
        <v>119203.22580645162</v>
      </c>
      <c r="Q25" s="225">
        <v>9240.0</v>
      </c>
      <c r="R25" s="225">
        <v>118703.22580645162</v>
      </c>
      <c r="S25" s="225">
        <v>109463.22580645162</v>
      </c>
    </row>
    <row r="26" spans="1:19" x14ac:dyDescent="0.15">
      <c r="A26" s="225">
        <v>122433.0</v>
      </c>
      <c r="B26" t="s" s="225">
        <v>50</v>
      </c>
      <c r="C26" t="s" s="225">
        <v>51</v>
      </c>
      <c r="D26" t="s" s="225">
        <v>21</v>
      </c>
      <c r="E26" s="225">
        <v>1.224140033E9</v>
      </c>
      <c r="F26" s="225">
        <v>30000.0</v>
      </c>
      <c r="G26" s="225">
        <v>12000.0</v>
      </c>
      <c r="H26" s="225">
        <v>3000.0</v>
      </c>
      <c r="I26" s="225">
        <v>1500.0</v>
      </c>
      <c r="J26" s="225">
        <v>9.0</v>
      </c>
      <c r="K26" s="225">
        <v>120.96774193548387</v>
      </c>
      <c r="L26" s="225">
        <v>1088.7096774193549</v>
      </c>
      <c r="M26" s="225">
        <v>4950.0</v>
      </c>
      <c r="N26" s="225">
        <v>3.0</v>
      </c>
      <c r="O26" s="225">
        <v>2903.2258064516127</v>
      </c>
      <c r="P26" s="225">
        <v>49635.48387096774</v>
      </c>
      <c r="Q26" s="225">
        <v>3960.0</v>
      </c>
      <c r="R26" s="225">
        <v>49135.48387096774</v>
      </c>
      <c r="S26" s="225">
        <v>45175.48387096774</v>
      </c>
    </row>
    <row r="27" spans="1:19" x14ac:dyDescent="0.15">
      <c r="A27" s="225">
        <v>122434.0</v>
      </c>
      <c r="B27" t="s" s="225">
        <v>48</v>
      </c>
      <c r="C27" t="s" s="225">
        <v>49</v>
      </c>
      <c r="D27" t="s" s="225">
        <v>21</v>
      </c>
      <c r="E27" s="225">
        <v>1.224140034E9</v>
      </c>
      <c r="F27" s="225">
        <v>65000.0</v>
      </c>
      <c r="G27" s="225">
        <v>26000.0</v>
      </c>
      <c r="H27" s="225">
        <v>6500.0</v>
      </c>
      <c r="I27" s="225">
        <v>3250.0</v>
      </c>
      <c r="J27" s="225">
        <v>10.0</v>
      </c>
      <c r="K27" s="225">
        <v>262.0967741935484</v>
      </c>
      <c r="L27" s="225">
        <v>2620.967741935484</v>
      </c>
      <c r="M27" s="225">
        <v>10725.0</v>
      </c>
      <c r="N27" s="225">
        <v>3.0</v>
      </c>
      <c r="O27" s="225">
        <v>6290.322580645162</v>
      </c>
      <c r="P27" s="225">
        <v>107805.64516129032</v>
      </c>
      <c r="Q27" s="225">
        <v>8580.0</v>
      </c>
      <c r="R27" s="225">
        <v>107305.64516129032</v>
      </c>
      <c r="S27" s="225">
        <v>98725.64516129032</v>
      </c>
    </row>
    <row r="28" spans="1:19" x14ac:dyDescent="0.15">
      <c r="A28" s="225">
        <v>122436.0</v>
      </c>
      <c r="B28" t="s" s="225">
        <v>44</v>
      </c>
      <c r="C28" t="s" s="225">
        <v>45</v>
      </c>
      <c r="D28" t="s" s="225">
        <v>21</v>
      </c>
      <c r="E28" s="225">
        <v>1.224140036E9</v>
      </c>
      <c r="F28" s="225">
        <v>65000.0</v>
      </c>
      <c r="G28" s="225">
        <v>26000.0</v>
      </c>
      <c r="H28" s="225">
        <v>6500.0</v>
      </c>
      <c r="I28" s="225">
        <v>3250.0</v>
      </c>
      <c r="J28" s="225">
        <v>12.0</v>
      </c>
      <c r="K28" s="225">
        <v>262.0967741935484</v>
      </c>
      <c r="L28" s="225">
        <v>3145.161290322581</v>
      </c>
      <c r="M28" s="225">
        <v>10725.0</v>
      </c>
      <c r="N28" s="225">
        <v>3.0</v>
      </c>
      <c r="O28" s="225">
        <v>6290.322580645162</v>
      </c>
      <c r="P28" s="225">
        <v>108329.83870967741</v>
      </c>
      <c r="Q28" s="225">
        <v>8580.0</v>
      </c>
      <c r="R28" s="225">
        <v>107829.83870967741</v>
      </c>
      <c r="S28" s="225">
        <v>99249.83870967741</v>
      </c>
    </row>
    <row r="29" spans="1:19" x14ac:dyDescent="0.15">
      <c r="A29" s="225">
        <v>122437.0</v>
      </c>
      <c r="B29" t="s" s="225">
        <v>42</v>
      </c>
      <c r="C29" t="s" s="225">
        <v>43</v>
      </c>
      <c r="D29" t="s" s="225">
        <v>21</v>
      </c>
      <c r="E29" s="225">
        <v>1.224140037E9</v>
      </c>
      <c r="F29" s="225">
        <v>65000.0</v>
      </c>
      <c r="G29" s="225">
        <v>26000.0</v>
      </c>
      <c r="H29" s="225">
        <v>6500.0</v>
      </c>
      <c r="I29" s="225">
        <v>3250.0</v>
      </c>
      <c r="J29" s="225">
        <v>2.0</v>
      </c>
      <c r="K29" s="225">
        <v>262.0967741935484</v>
      </c>
      <c r="L29" s="225">
        <v>524.1935483870968</v>
      </c>
      <c r="M29" s="225">
        <v>10725.0</v>
      </c>
      <c r="N29" s="225">
        <v>2.0</v>
      </c>
      <c r="O29" s="225">
        <v>4193.548387096775</v>
      </c>
      <c r="P29" s="225">
        <v>107805.64516129032</v>
      </c>
      <c r="Q29" s="225">
        <v>8580.0</v>
      </c>
      <c r="R29" s="225">
        <v>107305.64516129032</v>
      </c>
      <c r="S29" s="225">
        <v>98725.64516129032</v>
      </c>
    </row>
    <row r="30" spans="1:19" x14ac:dyDescent="0.15">
      <c r="A30" s="225">
        <v>122438.0</v>
      </c>
      <c r="B30" t="s" s="225">
        <v>40</v>
      </c>
      <c r="C30" t="s" s="225">
        <v>41</v>
      </c>
      <c r="D30" t="s" s="225">
        <v>21</v>
      </c>
      <c r="E30" s="225">
        <v>1.224140038E9</v>
      </c>
      <c r="F30" s="225">
        <v>65000.0</v>
      </c>
      <c r="G30" s="225">
        <v>26000.0</v>
      </c>
      <c r="H30" s="225">
        <v>6500.0</v>
      </c>
      <c r="I30" s="225">
        <v>3250.0</v>
      </c>
      <c r="J30" s="225">
        <v>3.0</v>
      </c>
      <c r="K30" s="225">
        <v>262.0967741935484</v>
      </c>
      <c r="L30" s="225">
        <v>786.2903225806452</v>
      </c>
      <c r="M30" s="225">
        <v>10725.0</v>
      </c>
      <c r="N30" s="225">
        <v>2.0</v>
      </c>
      <c r="O30" s="225">
        <v>4193.548387096775</v>
      </c>
      <c r="P30" s="225">
        <v>108067.74193548388</v>
      </c>
      <c r="Q30" s="225">
        <v>8580.0</v>
      </c>
      <c r="R30" s="225">
        <v>107567.74193548388</v>
      </c>
      <c r="S30" s="225">
        <v>98987.74193548388</v>
      </c>
    </row>
    <row r="31" spans="1:19" x14ac:dyDescent="0.15">
      <c r="A31" s="225">
        <v>122439.0</v>
      </c>
      <c r="B31" t="s" s="225">
        <v>38</v>
      </c>
      <c r="C31" t="s" s="225">
        <v>39</v>
      </c>
      <c r="D31" t="s" s="225">
        <v>21</v>
      </c>
      <c r="E31" s="225">
        <v>1.224140039E9</v>
      </c>
      <c r="F31" s="225">
        <v>65000.0</v>
      </c>
      <c r="G31" s="225">
        <v>26000.0</v>
      </c>
      <c r="H31" s="225">
        <v>6500.0</v>
      </c>
      <c r="I31" s="225">
        <v>3250.0</v>
      </c>
      <c r="J31" s="225">
        <v>3.0</v>
      </c>
      <c r="K31" s="225">
        <v>262.0967741935484</v>
      </c>
      <c r="L31" s="225">
        <v>786.2903225806452</v>
      </c>
      <c r="M31" s="225">
        <v>10725.0</v>
      </c>
      <c r="N31" s="225">
        <v>2.0</v>
      </c>
      <c r="O31" s="225">
        <v>4193.548387096775</v>
      </c>
      <c r="P31" s="225">
        <v>108067.74193548388</v>
      </c>
      <c r="Q31" s="225">
        <v>8580.0</v>
      </c>
      <c r="R31" s="225">
        <v>107567.74193548388</v>
      </c>
      <c r="S31" s="225">
        <v>98987.74193548388</v>
      </c>
    </row>
    <row r="32" spans="1:19" x14ac:dyDescent="0.15">
      <c r="A32" s="225">
        <v>122440.0</v>
      </c>
      <c r="B32" t="s" s="225">
        <v>36</v>
      </c>
      <c r="C32" t="s" s="225">
        <v>37</v>
      </c>
      <c r="D32" t="s" s="225">
        <v>21</v>
      </c>
      <c r="E32" s="225">
        <v>1.22414004E9</v>
      </c>
      <c r="F32" s="225">
        <v>120000.0</v>
      </c>
      <c r="G32" s="225">
        <v>48000.0</v>
      </c>
      <c r="H32" s="225">
        <v>12000.0</v>
      </c>
      <c r="I32" s="225">
        <v>6000.0</v>
      </c>
      <c r="J32" s="225">
        <v>3.0</v>
      </c>
      <c r="K32" s="225">
        <v>483.8709677419355</v>
      </c>
      <c r="L32" s="225">
        <v>1451.6129032258063</v>
      </c>
      <c r="M32" s="225">
        <v>19800.0</v>
      </c>
      <c r="N32" s="225">
        <v>2.0</v>
      </c>
      <c r="O32" s="225">
        <v>7741.935483870968</v>
      </c>
      <c r="P32" s="225">
        <v>199509.67741935485</v>
      </c>
      <c r="Q32" s="225">
        <v>15840.0</v>
      </c>
      <c r="R32" s="225">
        <v>199009.67741935485</v>
      </c>
      <c r="S32" s="225">
        <v>183169.67741935485</v>
      </c>
    </row>
    <row r="33" spans="1:19" x14ac:dyDescent="0.15">
      <c r="A33" s="225">
        <v>122442.0</v>
      </c>
      <c r="B33" t="s" s="225">
        <v>26</v>
      </c>
      <c r="C33" t="s" s="225">
        <v>27</v>
      </c>
      <c r="D33" t="s" s="225">
        <v>21</v>
      </c>
      <c r="E33" s="225">
        <v>1.224140042E9</v>
      </c>
      <c r="F33" s="225">
        <v>56000.0</v>
      </c>
      <c r="G33" s="225">
        <v>22400.0</v>
      </c>
      <c r="H33" s="225">
        <v>5600.0</v>
      </c>
      <c r="I33" s="225">
        <v>2800.0</v>
      </c>
      <c r="J33" s="225">
        <v>3.0</v>
      </c>
      <c r="K33" s="225">
        <v>225.80645161290323</v>
      </c>
      <c r="L33" s="225">
        <v>677.4193548387098</v>
      </c>
      <c r="M33" s="225">
        <v>9240.0</v>
      </c>
      <c r="N33" s="225">
        <v>2.0</v>
      </c>
      <c r="O33" s="225">
        <v>3612.9032258064517</v>
      </c>
      <c r="P33" s="225">
        <v>93104.51612903226</v>
      </c>
      <c r="Q33" s="225">
        <v>7392.0</v>
      </c>
      <c r="R33" s="225">
        <v>92604.51612903226</v>
      </c>
      <c r="S33" s="225">
        <v>85212.51612903226</v>
      </c>
    </row>
    <row r="34" spans="1:19" x14ac:dyDescent="0.15">
      <c r="A34" s="225">
        <v>122443.0</v>
      </c>
      <c r="B34" t="s" s="225">
        <v>24</v>
      </c>
      <c r="C34" t="s" s="225">
        <v>25</v>
      </c>
      <c r="D34" t="s" s="225">
        <v>21</v>
      </c>
      <c r="E34" s="225">
        <v>1.224140043E9</v>
      </c>
      <c r="F34" s="225">
        <v>78000.0</v>
      </c>
      <c r="G34" s="225">
        <v>31200.0</v>
      </c>
      <c r="H34" s="225">
        <v>7800.0</v>
      </c>
      <c r="I34" s="225">
        <v>3900.0</v>
      </c>
      <c r="J34" s="225">
        <v>3.0</v>
      </c>
      <c r="K34" s="225">
        <v>314.51612903225805</v>
      </c>
      <c r="L34" s="225">
        <v>943.5483870967741</v>
      </c>
      <c r="M34" s="225">
        <v>12870.0</v>
      </c>
      <c r="N34" s="225">
        <v>2.0</v>
      </c>
      <c r="O34" s="225">
        <v>5032.258064516129</v>
      </c>
      <c r="P34" s="225">
        <v>129681.29032258067</v>
      </c>
      <c r="Q34" s="225">
        <v>10296.0</v>
      </c>
      <c r="R34" s="225">
        <v>129181.29032258067</v>
      </c>
      <c r="S34" s="225">
        <v>118885.29032258067</v>
      </c>
    </row>
    <row r="35" spans="1:19" x14ac:dyDescent="0.15">
      <c r="A35" s="225">
        <v>122444.0</v>
      </c>
      <c r="B35" t="s" s="225">
        <v>22</v>
      </c>
      <c r="C35" t="s" s="225">
        <v>23</v>
      </c>
      <c r="D35" t="s" s="225">
        <v>21</v>
      </c>
      <c r="E35" s="225">
        <v>1.224140044E9</v>
      </c>
      <c r="F35" s="225">
        <v>34000.0</v>
      </c>
      <c r="G35" s="225">
        <v>13600.0</v>
      </c>
      <c r="H35" s="225">
        <v>3400.0</v>
      </c>
      <c r="I35" s="225">
        <v>1700.0</v>
      </c>
      <c r="J35" s="225">
        <v>3.0</v>
      </c>
      <c r="K35" s="225">
        <v>137.09677419354838</v>
      </c>
      <c r="L35" s="225">
        <v>411.2903225806451</v>
      </c>
      <c r="M35" s="225">
        <v>5610.0</v>
      </c>
      <c r="N35" s="225">
        <v>3.0</v>
      </c>
      <c r="O35" s="225">
        <v>3290.322580645161</v>
      </c>
      <c r="P35" s="225">
        <v>55430.967741935485</v>
      </c>
      <c r="Q35" s="225">
        <v>4488.0</v>
      </c>
      <c r="R35" s="225">
        <v>54930.967741935485</v>
      </c>
      <c r="S35" s="225">
        <v>50442.967741935485</v>
      </c>
    </row>
    <row r="36" spans="1:19" x14ac:dyDescent="0.15">
      <c r="A36" s="225">
        <v>122409.0</v>
      </c>
      <c r="B36" t="s" s="225">
        <v>95</v>
      </c>
      <c r="C36" t="s" s="225">
        <v>96</v>
      </c>
      <c r="D36" t="s" s="225">
        <v>58</v>
      </c>
      <c r="E36" s="225">
        <v>1.224140009E9</v>
      </c>
      <c r="F36" s="225">
        <v>65000.0</v>
      </c>
      <c r="G36" s="225">
        <v>26000.0</v>
      </c>
      <c r="H36" s="225">
        <v>6500.0</v>
      </c>
      <c r="I36" s="225">
        <v>3250.0</v>
      </c>
      <c r="J36" s="225">
        <v>34.0</v>
      </c>
      <c r="K36" s="225">
        <v>262.0967741935484</v>
      </c>
      <c r="L36" s="225">
        <v>8911.290322580646</v>
      </c>
      <c r="M36" s="225">
        <v>10725.0</v>
      </c>
      <c r="N36" s="225">
        <v>2.0</v>
      </c>
      <c r="O36" s="225">
        <v>4193.548387096775</v>
      </c>
      <c r="P36" s="225">
        <v>116192.74193548388</v>
      </c>
      <c r="Q36" s="225">
        <v>8580.0</v>
      </c>
      <c r="R36" s="225">
        <v>115692.74193548388</v>
      </c>
      <c r="S36" s="225">
        <v>107112.74193548388</v>
      </c>
    </row>
    <row r="37" spans="1:19" x14ac:dyDescent="0.15">
      <c r="A37" s="225">
        <v>122410.0</v>
      </c>
      <c r="B37" t="s" s="225">
        <v>97</v>
      </c>
      <c r="C37" t="s" s="225">
        <v>98</v>
      </c>
      <c r="D37" t="s" s="225">
        <v>58</v>
      </c>
      <c r="E37" s="225">
        <v>1.22414001E9</v>
      </c>
      <c r="F37" s="225">
        <v>165000.0</v>
      </c>
      <c r="G37" s="225">
        <v>66000.0</v>
      </c>
      <c r="H37" s="225">
        <v>16500.0</v>
      </c>
      <c r="I37" s="225">
        <v>8250.0</v>
      </c>
      <c r="J37" s="225">
        <v>9.0</v>
      </c>
      <c r="K37" s="225">
        <v>665.3225806451613</v>
      </c>
      <c r="L37" s="225">
        <v>5987.903225806452</v>
      </c>
      <c r="M37" s="225">
        <v>27225.0</v>
      </c>
      <c r="N37" s="225">
        <v>2.0</v>
      </c>
      <c r="O37" s="225">
        <v>10645.161290322581</v>
      </c>
      <c r="P37" s="225">
        <v>278317.7419354838</v>
      </c>
      <c r="Q37" s="225">
        <v>21780.0</v>
      </c>
      <c r="R37" s="225">
        <v>277817.7419354838</v>
      </c>
      <c r="S37" s="225">
        <v>256037.74193548382</v>
      </c>
    </row>
    <row r="38" spans="1:19" x14ac:dyDescent="0.15">
      <c r="A38" s="225">
        <v>122413.0</v>
      </c>
      <c r="B38" t="s" s="225">
        <v>99</v>
      </c>
      <c r="C38" t="s" s="225">
        <v>100</v>
      </c>
      <c r="D38" t="s" s="225">
        <v>58</v>
      </c>
      <c r="E38" s="225">
        <v>1.224140013E9</v>
      </c>
      <c r="F38" s="225">
        <v>65000.0</v>
      </c>
      <c r="G38" s="225">
        <v>26000.0</v>
      </c>
      <c r="H38" s="225">
        <v>6500.0</v>
      </c>
      <c r="I38" s="225">
        <v>3250.0</v>
      </c>
      <c r="J38" s="225">
        <v>8.0</v>
      </c>
      <c r="K38" s="225">
        <v>262.0967741935484</v>
      </c>
      <c r="L38" s="225">
        <v>2096.7741935483873</v>
      </c>
      <c r="M38" s="225">
        <v>10725.0</v>
      </c>
      <c r="N38" s="225">
        <v>2.0</v>
      </c>
      <c r="O38" s="225">
        <v>4193.548387096775</v>
      </c>
      <c r="P38" s="225">
        <v>109378.22580645162</v>
      </c>
      <c r="Q38" s="225">
        <v>8580.0</v>
      </c>
      <c r="R38" s="225">
        <v>108878.22580645162</v>
      </c>
      <c r="S38" s="225">
        <v>100298.22580645162</v>
      </c>
    </row>
    <row r="39" spans="1:19" x14ac:dyDescent="0.15">
      <c r="A39" s="225">
        <v>122419.0</v>
      </c>
      <c r="B39" t="s" s="225">
        <v>101</v>
      </c>
      <c r="C39" t="s" s="225">
        <v>102</v>
      </c>
      <c r="D39" t="s" s="225">
        <v>58</v>
      </c>
      <c r="E39" s="225">
        <v>1.224140019E9</v>
      </c>
      <c r="F39" s="225">
        <v>30000.0</v>
      </c>
      <c r="G39" s="225">
        <v>12000.0</v>
      </c>
      <c r="H39" s="225">
        <v>3000.0</v>
      </c>
      <c r="I39" s="225">
        <v>1500.0</v>
      </c>
      <c r="J39" s="225">
        <v>10.0</v>
      </c>
      <c r="K39" s="225">
        <v>120.96774193548387</v>
      </c>
      <c r="L39" s="225">
        <v>1209.6774193548388</v>
      </c>
      <c r="M39" s="225">
        <v>4950.0</v>
      </c>
      <c r="N39" s="225">
        <v>5.0</v>
      </c>
      <c r="O39" s="225">
        <v>4838.709677419355</v>
      </c>
      <c r="P39" s="225">
        <v>47820.967741935485</v>
      </c>
      <c r="Q39" s="225">
        <v>3960.0</v>
      </c>
      <c r="R39" s="225">
        <v>47320.967741935485</v>
      </c>
      <c r="S39" s="225">
        <v>43360.967741935485</v>
      </c>
    </row>
    <row r="40" spans="1:19" x14ac:dyDescent="0.15">
      <c r="A40" s="225">
        <v>122420.0</v>
      </c>
      <c r="B40" t="s" s="225">
        <v>103</v>
      </c>
      <c r="C40" t="s" s="225">
        <v>104</v>
      </c>
      <c r="D40" t="s" s="225">
        <v>58</v>
      </c>
      <c r="E40" s="225">
        <v>1.22414002E9</v>
      </c>
      <c r="F40" s="225">
        <v>40000.0</v>
      </c>
      <c r="G40" s="225">
        <v>16000.0</v>
      </c>
      <c r="H40" s="225">
        <v>4000.0</v>
      </c>
      <c r="I40" s="225">
        <v>2000.0</v>
      </c>
      <c r="J40" s="225">
        <v>11.0</v>
      </c>
      <c r="K40" s="225">
        <v>161.29032258064515</v>
      </c>
      <c r="L40" s="225">
        <v>1774.1935483870966</v>
      </c>
      <c r="M40" s="225">
        <v>6600.0</v>
      </c>
      <c r="N40" s="225">
        <v>5.0</v>
      </c>
      <c r="O40" s="225">
        <v>6451.612903225806</v>
      </c>
      <c r="P40" s="225">
        <v>63922.58064516129</v>
      </c>
      <c r="Q40" s="225">
        <v>5280.0</v>
      </c>
      <c r="R40" s="225">
        <v>63422.58064516129</v>
      </c>
      <c r="S40" s="225">
        <v>58142.58064516129</v>
      </c>
    </row>
    <row r="41" spans="1:19" x14ac:dyDescent="0.15">
      <c r="A41" s="225">
        <v>122421.0</v>
      </c>
      <c r="B41" t="s" s="225">
        <v>105</v>
      </c>
      <c r="C41" t="s" s="225">
        <v>106</v>
      </c>
      <c r="D41" t="s" s="225">
        <v>58</v>
      </c>
      <c r="E41" s="225">
        <v>1.224140021E9</v>
      </c>
      <c r="F41" s="225">
        <v>30000.0</v>
      </c>
      <c r="G41" s="225">
        <v>12000.0</v>
      </c>
      <c r="H41" s="225">
        <v>3000.0</v>
      </c>
      <c r="I41" s="225">
        <v>1500.0</v>
      </c>
      <c r="J41" s="225">
        <v>12.0</v>
      </c>
      <c r="K41" s="225">
        <v>120.96774193548387</v>
      </c>
      <c r="L41" s="225">
        <v>1451.6129032258063</v>
      </c>
      <c r="M41" s="225">
        <v>4950.0</v>
      </c>
      <c r="N41" s="225">
        <v>5.0</v>
      </c>
      <c r="O41" s="225">
        <v>4838.709677419355</v>
      </c>
      <c r="P41" s="225">
        <v>48062.90322580645</v>
      </c>
      <c r="Q41" s="225">
        <v>3960.0</v>
      </c>
      <c r="R41" s="225">
        <v>47562.90322580645</v>
      </c>
      <c r="S41" s="225">
        <v>43602.90322580645</v>
      </c>
    </row>
    <row r="42" spans="1:19" x14ac:dyDescent="0.15">
      <c r="A42" s="225">
        <v>122422.0</v>
      </c>
      <c r="B42" t="s" s="225">
        <v>107</v>
      </c>
      <c r="C42" t="s" s="225">
        <v>100</v>
      </c>
      <c r="D42" t="s" s="225">
        <v>58</v>
      </c>
      <c r="E42" s="225">
        <v>1.224140022E9</v>
      </c>
      <c r="F42" s="225">
        <v>60000.0</v>
      </c>
      <c r="G42" s="225">
        <v>24000.0</v>
      </c>
      <c r="H42" s="225">
        <v>6000.0</v>
      </c>
      <c r="I42" s="225">
        <v>3000.0</v>
      </c>
      <c r="J42" s="225">
        <v>13.0</v>
      </c>
      <c r="K42" s="225">
        <v>241.93548387096774</v>
      </c>
      <c r="L42" s="225">
        <v>3145.1612903225805</v>
      </c>
      <c r="M42" s="225">
        <v>9900.0</v>
      </c>
      <c r="N42" s="225">
        <v>5.0</v>
      </c>
      <c r="O42" s="225">
        <v>9677.41935483871</v>
      </c>
      <c r="P42" s="225">
        <v>96367.74193548386</v>
      </c>
      <c r="Q42" s="225">
        <v>7920.0</v>
      </c>
      <c r="R42" s="225">
        <v>95867.74193548386</v>
      </c>
      <c r="S42" s="225">
        <v>87947.74193548386</v>
      </c>
    </row>
    <row r="43" spans="1:19" x14ac:dyDescent="0.15">
      <c r="A43" s="225">
        <v>122423.0</v>
      </c>
      <c r="B43" t="s" s="225">
        <v>108</v>
      </c>
      <c r="C43" t="s" s="225">
        <v>109</v>
      </c>
      <c r="D43" t="s" s="225">
        <v>58</v>
      </c>
      <c r="E43" s="225">
        <v>1.224140023E9</v>
      </c>
      <c r="F43" s="225">
        <v>25000.0</v>
      </c>
      <c r="G43" s="225">
        <v>10000.0</v>
      </c>
      <c r="H43" s="225">
        <v>2500.0</v>
      </c>
      <c r="I43" s="225">
        <v>1250.0</v>
      </c>
      <c r="J43" s="225">
        <v>14.0</v>
      </c>
      <c r="K43" s="225">
        <v>100.80645161290323</v>
      </c>
      <c r="L43" s="225">
        <v>1411.2903225806454</v>
      </c>
      <c r="M43" s="225">
        <v>4125.0</v>
      </c>
      <c r="N43" s="225">
        <v>1.0</v>
      </c>
      <c r="O43" s="225">
        <v>806.4516129032259</v>
      </c>
      <c r="P43" s="225">
        <v>43479.83870967742</v>
      </c>
      <c r="Q43" s="225">
        <v>3300.0</v>
      </c>
      <c r="R43" s="225">
        <v>42979.83870967742</v>
      </c>
      <c r="S43" s="225">
        <v>39679.83870967742</v>
      </c>
    </row>
    <row r="44" spans="1:19" x14ac:dyDescent="0.15">
      <c r="A44" s="225">
        <v>122424.0</v>
      </c>
      <c r="B44" t="s" s="225">
        <v>110</v>
      </c>
      <c r="C44" t="s" s="225">
        <v>111</v>
      </c>
      <c r="D44" t="s" s="225">
        <v>58</v>
      </c>
      <c r="E44" s="225">
        <v>1.224140024E9</v>
      </c>
      <c r="F44" s="225">
        <v>40000.0</v>
      </c>
      <c r="G44" s="225">
        <v>16000.0</v>
      </c>
      <c r="H44" s="225">
        <v>4000.0</v>
      </c>
      <c r="I44" s="225">
        <v>2000.0</v>
      </c>
      <c r="J44" s="225">
        <v>15.0</v>
      </c>
      <c r="K44" s="225">
        <v>161.29032258064515</v>
      </c>
      <c r="L44" s="225">
        <v>2419.354838709677</v>
      </c>
      <c r="M44" s="225">
        <v>6600.0</v>
      </c>
      <c r="N44" s="225">
        <v>2.0</v>
      </c>
      <c r="O44" s="225">
        <v>2580.6451612903224</v>
      </c>
      <c r="P44" s="225">
        <v>68438.70967741935</v>
      </c>
      <c r="Q44" s="225">
        <v>5280.0</v>
      </c>
      <c r="R44" s="225">
        <v>67938.70967741935</v>
      </c>
      <c r="S44" s="225">
        <v>62658.70967741935</v>
      </c>
    </row>
    <row r="45" spans="1:19" x14ac:dyDescent="0.15">
      <c r="A45" s="225">
        <v>122441.0</v>
      </c>
      <c r="B45" t="s" s="225">
        <v>24</v>
      </c>
      <c r="C45" t="s" s="225">
        <v>112</v>
      </c>
      <c r="D45" t="s" s="225">
        <v>58</v>
      </c>
      <c r="E45" s="225">
        <v>1.224140041E9</v>
      </c>
      <c r="F45" s="225">
        <v>35000.0</v>
      </c>
      <c r="G45" s="225">
        <v>14000.0</v>
      </c>
      <c r="H45" s="225">
        <v>3500.0</v>
      </c>
      <c r="I45" s="225">
        <v>1750.0</v>
      </c>
      <c r="J45" s="225">
        <v>3.0</v>
      </c>
      <c r="K45" s="225">
        <v>141.1290322580645</v>
      </c>
      <c r="L45" s="225">
        <v>423.38709677419354</v>
      </c>
      <c r="M45" s="225">
        <v>5775.0</v>
      </c>
      <c r="N45" s="225">
        <v>2.0</v>
      </c>
      <c r="O45" s="225">
        <v>2258.064516129032</v>
      </c>
      <c r="P45" s="225">
        <v>58190.32258064517</v>
      </c>
      <c r="Q45" s="225">
        <v>4620.0</v>
      </c>
      <c r="R45" s="225">
        <v>57690.32258064517</v>
      </c>
      <c r="S45" s="225">
        <v>53070.32258064517</v>
      </c>
    </row>
    <row r="46" spans="1:19" x14ac:dyDescent="0.15">
      <c r="A46" s="225">
        <v>122445.0</v>
      </c>
      <c r="B46" t="s" s="225">
        <v>113</v>
      </c>
      <c r="C46" t="s" s="225">
        <v>114</v>
      </c>
      <c r="D46" t="s" s="225">
        <v>58</v>
      </c>
      <c r="E46" s="225">
        <v>1.224140045E9</v>
      </c>
      <c r="F46" s="225">
        <v>125000.0</v>
      </c>
      <c r="G46" s="225">
        <v>50000.0</v>
      </c>
      <c r="H46" s="225">
        <v>12500.0</v>
      </c>
      <c r="I46" s="225">
        <v>6250.0</v>
      </c>
      <c r="J46" s="225">
        <v>4.0</v>
      </c>
      <c r="K46" s="225">
        <v>504.03225806451616</v>
      </c>
      <c r="L46" s="225">
        <v>2016.1290322580646</v>
      </c>
      <c r="M46" s="225">
        <v>20625.0</v>
      </c>
      <c r="N46" s="225">
        <v>4.0</v>
      </c>
      <c r="O46" s="225">
        <v>16129.032258064517</v>
      </c>
      <c r="P46" s="225">
        <v>200262.09677419355</v>
      </c>
      <c r="Q46" s="225">
        <v>16500.0</v>
      </c>
      <c r="R46" s="225">
        <v>199762.09677419355</v>
      </c>
      <c r="S46" s="225">
        <v>183262.09677419355</v>
      </c>
    </row>
    <row r="47" spans="1:19" x14ac:dyDescent="0.15">
      <c r="A47" s="225">
        <v>122446.0</v>
      </c>
      <c r="B47" t="s" s="225">
        <v>115</v>
      </c>
      <c r="C47" t="s" s="225">
        <v>116</v>
      </c>
      <c r="D47" t="s" s="225">
        <v>58</v>
      </c>
      <c r="E47" s="225">
        <v>1.224140046E9</v>
      </c>
      <c r="F47" s="225">
        <v>230000.0</v>
      </c>
      <c r="G47" s="225">
        <v>92000.0</v>
      </c>
      <c r="H47" s="225">
        <v>23000.0</v>
      </c>
      <c r="I47" s="225">
        <v>11500.0</v>
      </c>
      <c r="J47" s="225">
        <v>4.0</v>
      </c>
      <c r="K47" s="225">
        <v>927.4193548387096</v>
      </c>
      <c r="L47" s="225">
        <v>3709.6774193548385</v>
      </c>
      <c r="M47" s="225">
        <v>37950.0</v>
      </c>
      <c r="N47" s="225">
        <v>5.0</v>
      </c>
      <c r="O47" s="225">
        <v>37096.77419354839</v>
      </c>
      <c r="P47" s="225">
        <v>361062.9032258065</v>
      </c>
      <c r="Q47" s="225">
        <v>30360.0</v>
      </c>
      <c r="R47" s="225">
        <v>360562.9032258065</v>
      </c>
      <c r="S47" s="225">
        <v>330202.9032258065</v>
      </c>
    </row>
    <row r="48" spans="1:19" x14ac:dyDescent="0.15">
      <c r="A48" s="225">
        <v>122447.0</v>
      </c>
      <c r="B48" t="s" s="225">
        <v>117</v>
      </c>
      <c r="C48" t="s" s="225">
        <v>118</v>
      </c>
      <c r="D48" t="s" s="225">
        <v>58</v>
      </c>
      <c r="E48" s="225">
        <v>1.224140047E9</v>
      </c>
      <c r="F48" s="225">
        <v>56000.0</v>
      </c>
      <c r="G48" s="225">
        <v>22400.0</v>
      </c>
      <c r="H48" s="225">
        <v>5600.0</v>
      </c>
      <c r="I48" s="225">
        <v>2800.0</v>
      </c>
      <c r="J48" s="225">
        <v>4.0</v>
      </c>
      <c r="K48" s="225">
        <v>225.80645161290323</v>
      </c>
      <c r="L48" s="225">
        <v>903.2258064516129</v>
      </c>
      <c r="M48" s="225">
        <v>9240.0</v>
      </c>
      <c r="N48" s="225">
        <v>6.0</v>
      </c>
      <c r="O48" s="225">
        <v>10838.709677419356</v>
      </c>
      <c r="P48" s="225">
        <v>86104.51612903224</v>
      </c>
      <c r="Q48" s="225">
        <v>7392.0</v>
      </c>
      <c r="R48" s="225">
        <v>85604.51612903224</v>
      </c>
      <c r="S48" s="225">
        <v>78212.51612903224</v>
      </c>
    </row>
    <row r="49" spans="1:19" x14ac:dyDescent="0.15">
      <c r="A49" s="225">
        <v>122448.0</v>
      </c>
      <c r="B49" t="s" s="225">
        <v>119</v>
      </c>
      <c r="C49" t="s" s="225">
        <v>120</v>
      </c>
      <c r="D49" t="s" s="225">
        <v>58</v>
      </c>
      <c r="E49" s="225">
        <v>1.224140048E9</v>
      </c>
      <c r="F49" s="225">
        <v>80000.0</v>
      </c>
      <c r="G49" s="225">
        <v>32000.0</v>
      </c>
      <c r="H49" s="225">
        <v>8000.0</v>
      </c>
      <c r="I49" s="225">
        <v>4000.0</v>
      </c>
      <c r="J49" s="225">
        <v>4.0</v>
      </c>
      <c r="K49" s="225">
        <v>322.5806451612903</v>
      </c>
      <c r="L49" s="225">
        <v>1290.3225806451612</v>
      </c>
      <c r="M49" s="225">
        <v>13200.0</v>
      </c>
      <c r="N49" s="225">
        <v>3.0</v>
      </c>
      <c r="O49" s="225">
        <v>7741.935483870968</v>
      </c>
      <c r="P49" s="225">
        <v>130748.38709677418</v>
      </c>
      <c r="Q49" s="225">
        <v>10560.0</v>
      </c>
      <c r="R49" s="225">
        <v>130248.38709677418</v>
      </c>
      <c r="S49" s="225">
        <v>119688.38709677418</v>
      </c>
    </row>
    <row r="50" spans="1:19" x14ac:dyDescent="0.15">
      <c r="A50" s="225">
        <v>122449.0</v>
      </c>
      <c r="B50" t="s" s="225">
        <v>121</v>
      </c>
      <c r="C50" t="s" s="225">
        <v>122</v>
      </c>
      <c r="D50" t="s" s="225">
        <v>58</v>
      </c>
      <c r="E50" s="225">
        <v>1.224140049E9</v>
      </c>
      <c r="F50" s="225">
        <v>56000.0</v>
      </c>
      <c r="G50" s="225">
        <v>22400.0</v>
      </c>
      <c r="H50" s="225">
        <v>5600.0</v>
      </c>
      <c r="I50" s="225">
        <v>2800.0</v>
      </c>
      <c r="J50" s="225">
        <v>4.0</v>
      </c>
      <c r="K50" s="225">
        <v>225.80645161290323</v>
      </c>
      <c r="L50" s="225">
        <v>903.2258064516129</v>
      </c>
      <c r="M50" s="225">
        <v>9240.0</v>
      </c>
      <c r="N50" s="225">
        <v>2.0</v>
      </c>
      <c r="O50" s="225">
        <v>3612.9032258064517</v>
      </c>
      <c r="P50" s="225">
        <v>93330.32258064515</v>
      </c>
      <c r="Q50" s="225">
        <v>7392.0</v>
      </c>
      <c r="R50" s="225">
        <v>92830.32258064515</v>
      </c>
      <c r="S50" s="225">
        <v>85438.32258064515</v>
      </c>
    </row>
    <row r="51" spans="1:19" x14ac:dyDescent="0.15">
      <c r="A51" s="225">
        <v>122450.0</v>
      </c>
      <c r="B51" t="s" s="225">
        <v>123</v>
      </c>
      <c r="C51" t="s" s="225">
        <v>124</v>
      </c>
      <c r="D51" t="s" s="225">
        <v>58</v>
      </c>
      <c r="E51" s="225">
        <v>1.22414005E9</v>
      </c>
      <c r="F51" s="225">
        <v>45000.0</v>
      </c>
      <c r="G51" s="225">
        <v>18000.0</v>
      </c>
      <c r="H51" s="225">
        <v>4500.0</v>
      </c>
      <c r="I51" s="225">
        <v>2250.0</v>
      </c>
      <c r="J51" s="225">
        <v>4.0</v>
      </c>
      <c r="K51" s="225">
        <v>181.4516129032258</v>
      </c>
      <c r="L51" s="225">
        <v>725.8064516129032</v>
      </c>
      <c r="M51" s="225">
        <v>7425.0</v>
      </c>
      <c r="N51" s="225">
        <v>9.0</v>
      </c>
      <c r="O51" s="225">
        <v>13064.516129032258</v>
      </c>
      <c r="P51" s="225">
        <v>64836.29032258065</v>
      </c>
      <c r="Q51" s="225">
        <v>5940.0</v>
      </c>
      <c r="R51" s="225">
        <v>64336.29032258065</v>
      </c>
      <c r="S51" s="225">
        <v>58396.29032258065</v>
      </c>
    </row>
    <row r="52" spans="1:19" x14ac:dyDescent="0.15">
      <c r="A52" s="225">
        <v>122451.0</v>
      </c>
      <c r="B52" t="s" s="225">
        <v>125</v>
      </c>
      <c r="C52" t="s" s="225">
        <v>126</v>
      </c>
      <c r="D52" t="s" s="225">
        <v>58</v>
      </c>
      <c r="E52" s="225">
        <v>1.224140051E9</v>
      </c>
      <c r="F52" s="225">
        <v>34000.0</v>
      </c>
      <c r="G52" s="225">
        <v>13600.0</v>
      </c>
      <c r="H52" s="225">
        <v>3400.0</v>
      </c>
      <c r="I52" s="225">
        <v>1700.0</v>
      </c>
      <c r="J52" s="225">
        <v>4.0</v>
      </c>
      <c r="K52" s="225">
        <v>137.09677419354838</v>
      </c>
      <c r="L52" s="225">
        <v>548.3870967741935</v>
      </c>
      <c r="M52" s="225">
        <v>5610.0</v>
      </c>
      <c r="N52" s="225">
        <v>1.0</v>
      </c>
      <c r="O52" s="225">
        <v>1096.774193548387</v>
      </c>
      <c r="P52" s="225">
        <v>57761.61290322581</v>
      </c>
      <c r="Q52" s="225">
        <v>4488.0</v>
      </c>
      <c r="R52" s="225">
        <v>57261.61290322581</v>
      </c>
      <c r="S52" s="225">
        <v>52773.61290322581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docProps/app.xml><?xml version="1.0" encoding="utf-8"?>
<Properties xmlns="http://schemas.openxmlformats.org/officeDocument/2006/extended-properties">
  <Template>Normal.eit</Template>
  <TotalTime>2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created xsi:type="dcterms:W3CDTF">2006-09-16T00:00:00Z</dcterms:created>
  <dcterms:modified xsi:type="dcterms:W3CDTF">2026-04-18T03:09:16Z</dcterms:modified>
</cp:coreProperties>
</file>